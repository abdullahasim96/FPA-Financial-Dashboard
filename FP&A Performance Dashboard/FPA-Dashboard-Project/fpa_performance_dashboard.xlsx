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Monthly P&amp;L" sheetId="3" state="visible" r:id="rId5"/>
    <sheet name="3-Month Foreca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<sst xmlns="http://schemas.openxmlformats.org/spreadsheetml/2006/main" count="352" uniqueCount="71">
  <si>
    <t xml:space="preserve">FP&amp;A Performance Dashboard — 2024</t>
  </si>
  <si>
    <t xml:space="preserve">Live KPIs, Budget vs Actual, Revenue Trend, and Variance Breakdown</t>
  </si>
  <si>
    <t xml:space="preserve">Month</t>
  </si>
  <si>
    <t xml:space="preserve">Budget</t>
  </si>
  <si>
    <t xml:space="preserve">Actual</t>
  </si>
  <si>
    <t xml:space="preserve">Revenue</t>
  </si>
  <si>
    <t xml:space="preserve">Category</t>
  </si>
  <si>
    <t xml:space="preserve">Base</t>
  </si>
  <si>
    <t xml:space="preserve">Down</t>
  </si>
  <si>
    <t xml:space="preserve">Up</t>
  </si>
  <si>
    <t xml:space="preserve">Total</t>
  </si>
  <si>
    <t xml:space="preserve">Variance</t>
  </si>
  <si>
    <t xml:space="preserve">Total Revenue</t>
  </si>
  <si>
    <t xml:space="preserve">Total Expenses</t>
  </si>
  <si>
    <t xml:space="preserve">Net Profit</t>
  </si>
  <si>
    <t xml:space="preserve">Overall Variance %</t>
  </si>
  <si>
    <t xml:space="preserve">Jan-2024</t>
  </si>
  <si>
    <t xml:space="preserve">Budget Total</t>
  </si>
  <si>
    <t xml:space="preserve">Feb-2024</t>
  </si>
  <si>
    <t xml:space="preserve">Sales</t>
  </si>
  <si>
    <t xml:space="preserve">Mar-2024</t>
  </si>
  <si>
    <t xml:space="preserve">Marketing</t>
  </si>
  <si>
    <t xml:space="preserve">Charts</t>
  </si>
  <si>
    <t xml:space="preserve">Apr-2024</t>
  </si>
  <si>
    <t xml:space="preserve">Operations</t>
  </si>
  <si>
    <t xml:space="preserve">May-2024</t>
  </si>
  <si>
    <t xml:space="preserve">R&amp;D</t>
  </si>
  <si>
    <t xml:space="preserve">Jun-2024</t>
  </si>
  <si>
    <t xml:space="preserve">HR</t>
  </si>
  <si>
    <t xml:space="preserve">Jul-2024</t>
  </si>
  <si>
    <t xml:space="preserve">Customer Success</t>
  </si>
  <si>
    <t xml:space="preserve">Aug-2024</t>
  </si>
  <si>
    <t xml:space="preserve">Finance</t>
  </si>
  <si>
    <t xml:space="preserve">Sep-2024</t>
  </si>
  <si>
    <t xml:space="preserve">IT</t>
  </si>
  <si>
    <t xml:space="preserve">Oct-2024</t>
  </si>
  <si>
    <t xml:space="preserve">Actual Total</t>
  </si>
  <si>
    <t xml:space="preserve">Nov-2024</t>
  </si>
  <si>
    <t xml:space="preserve">Dec-2024</t>
  </si>
  <si>
    <t xml:space="preserve">Department</t>
  </si>
  <si>
    <t xml:space="preserve">Variance %</t>
  </si>
  <si>
    <t xml:space="preserve">Monthly P&amp;L — Budget vs. Actual</t>
  </si>
  <si>
    <t xml:space="preserve">Line Item</t>
  </si>
  <si>
    <t xml:space="preserve">Var %</t>
  </si>
  <si>
    <t xml:space="preserve">  Sales</t>
  </si>
  <si>
    <t xml:space="preserve">Costs</t>
  </si>
  <si>
    <t xml:space="preserve">  Marketing</t>
  </si>
  <si>
    <t xml:space="preserve">  Operations</t>
  </si>
  <si>
    <t xml:space="preserve">  R&amp;D</t>
  </si>
  <si>
    <t xml:space="preserve">  HR</t>
  </si>
  <si>
    <t xml:space="preserve">  Customer Success</t>
  </si>
  <si>
    <t xml:space="preserve">  Finance</t>
  </si>
  <si>
    <t xml:space="preserve">  IT</t>
  </si>
  <si>
    <t xml:space="preserve">Total Costs</t>
  </si>
  <si>
    <t xml:space="preserve">Profit</t>
  </si>
  <si>
    <t xml:space="preserve">Profit Margin %</t>
  </si>
  <si>
    <t xml:space="preserve">3-Month Rolling Forecast</t>
  </si>
  <si>
    <t xml:space="preserve">Assumption</t>
  </si>
  <si>
    <t xml:space="preserve">Monthly Growth Rate</t>
  </si>
  <si>
    <t xml:space="preserve">← Blue/yellow = key assumption (editable)</t>
  </si>
  <si>
    <t xml:space="preserve">Period</t>
  </si>
  <si>
    <t xml:space="preserve">Type</t>
  </si>
  <si>
    <t xml:space="preserve">Jan-2025</t>
  </si>
  <si>
    <t xml:space="preserve">Forecast</t>
  </si>
  <si>
    <t xml:space="preserve">Feb-2025</t>
  </si>
  <si>
    <t xml:space="preserve">Mar-2025</t>
  </si>
  <si>
    <t xml:space="preserve">Methodology</t>
  </si>
  <si>
    <t xml:space="preserve">• Historical rows pull Actuals from the Monthly P&amp;L tab.</t>
  </si>
  <si>
    <t xml:space="preserve">• Forecast = trailing 3-month average × (1 + monthly growth rate).</t>
  </si>
  <si>
    <t xml:space="preserve">• Change the growth rate in cell C3 (yellow) to flex the forecast.</t>
  </si>
  <si>
    <t xml:space="preserve">• Revenue = Sales department. Costs = sum of all non-Sales departments.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</si>
</sst>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$* #,##0_);_(\$* \(#,##0\);_(\$* \-_);_(@_)"/>
    <numFmt numFmtId="166" formatCode="0.0%;\(0.0%\);\-"/>
    <numFmt numFmtId="167" formatCode="_(\$* #,##0_);_(\$* \(#,##0\);_(\$* \-_);_(@_)"/>
    <numFmt numFmtId="168" formatCode="0.0%;\(0.0%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C00000"/>
      <name val="Arial"/>
      <family val="0"/>
      <charset val="1"/>
    </font>
    <font>
      <b val="true"/>
      <sz val="22"/>
      <color rgb="FF548235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0"/>
      <color rgb="FF40404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 diagonalUp="false" diagonalDown="false"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Budget vs Actual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12600">
              <a:noFill/>
            </a:ln>
          </c:spPr>
          <c:invertIfNegative val="0"/>
        </c:ser>
        <c:ser>
          <c:idx val="1"/>
          <c:order val="1"/>
          <c:spPr>
            <a:solidFill>
              <a:srgbClr val="1F4E78"/>
            </a:solidFill>
            <a:ln w="12600">
              <a:noFill/>
            </a:ln>
          </c:spPr>
          <c:invertIfNegative val="0"/>
        </c:ser>
        <c:gapWidth val="150"/>
        <c:overlap val="0"/>
        <c:axId val="85905265"/>
        <c:axId val="47932180"/>
      </c:barChart>
      <c:catAx>
        <c:axId val="859052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932180"/>
        <c:crosses val="autoZero"/>
        <c:auto val="1"/>
        <c:lblAlgn val="ctr"/>
        <c:lblOffset val="100"/>
        <c:noMultiLvlLbl val="0"/>
      </c:catAx>
      <c:valAx>
        <c:axId val="479321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9052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Trend (Sales)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42248679"/>
        <c:axId val="81777012"/>
      </c:lineChart>
      <c:catAx>
        <c:axId val="42248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777012"/>
        <c:crosses val="autoZero"/>
        <c:auto val="1"/>
        <c:lblAlgn val="ctr"/>
        <c:lblOffset val="100"/>
        <c:noMultiLvlLbl val="0"/>
      </c:catAx>
      <c:valAx>
        <c:axId val="817770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2486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Variance Waterfall — Budget → Actual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FFFF"/>
            </a:solidFill>
            <a:ln w="12600">
              <a:solidFill>
                <a:srgbClr val="FFFFFF"/>
              </a:solidFill>
              <a:round/>
            </a:ln>
          </c:spPr>
          <c:invertIfNegative val="0"/>
        </c:ser>
        <c:ser>
          <c:idx val="1"/>
          <c:order val="1"/>
          <c:spPr>
            <a:solidFill>
              <a:srgbClr val="C00000"/>
            </a:solidFill>
            <a:ln w="12600">
              <a:noFill/>
            </a:ln>
          </c:spPr>
          <c:invertIfNegative val="0"/>
        </c:ser>
        <c:ser>
          <c:idx val="2"/>
          <c:order val="2"/>
          <c:spPr>
            <a:solidFill>
              <a:srgbClr val="548235"/>
            </a:solidFill>
            <a:ln w="12600">
              <a:noFill/>
            </a:ln>
          </c:spPr>
          <c:invertIfNegative val="0"/>
        </c:ser>
        <c:ser>
          <c:idx val="3"/>
          <c:order val="3"/>
          <c:spPr>
            <a:solidFill>
              <a:srgbClr val="1F4E78"/>
            </a:solidFill>
            <a:ln w="12600">
              <a:noFill/>
            </a:ln>
          </c:spPr>
          <c:invertIfNegative val="0"/>
        </c:ser>
        <c:gapWidth val="150"/>
        <c:overlap val="100"/>
        <c:axId val="3644823"/>
        <c:axId val="78748271"/>
      </c:barChart>
      <c:catAx>
        <c:axId val="36448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748271"/>
        <c:crosses val="autoZero"/>
        <c:auto val="1"/>
        <c:lblAlgn val="ctr"/>
        <c:lblOffset val="100"/>
        <c:noMultiLvlLbl val="0"/>
      </c:catAx>
      <c:valAx>
        <c:axId val="787482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48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7</xdr:col>
      <xdr:colOff>558720</xdr:colOff>
      <xdr:row>24</xdr:row>
      <xdr:rowOff>1080</xdr:rowOff>
    </xdr:to>
    <xdr:graphicFrame>
      <xdr:nvGraphicFramePr>
        <xdr:cNvPr id="1" name="Chart 1"/>
        <xdr:cNvGraphicFramePr/>
      </xdr:nvGraphicFramePr>
      <xdr:xfrm>
        <a:off x="0" y="1613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15</xdr:col>
      <xdr:colOff>558720</xdr:colOff>
      <xdr:row>24</xdr:row>
      <xdr:rowOff>1080</xdr:rowOff>
    </xdr:to>
    <xdr:graphicFrame>
      <xdr:nvGraphicFramePr>
        <xdr:cNvPr id="2" name="Chart 2"/>
        <xdr:cNvGraphicFramePr/>
      </xdr:nvGraphicFramePr>
      <xdr:xfrm>
        <a:off x="6766560" y="16135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15</xdr:col>
      <xdr:colOff>272160</xdr:colOff>
      <xdr:row>45</xdr:row>
      <xdr:rowOff>149760</xdr:rowOff>
    </xdr:to>
    <xdr:graphicFrame>
      <xdr:nvGraphicFramePr>
        <xdr:cNvPr id="3" name="Chart 3"/>
        <xdr:cNvGraphicFramePr/>
      </xdr:nvGraphicFramePr>
      <xdr:xfrm>
        <a:off x="0" y="4928400"/>
        <a:ext cx="129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6" min="1" style="0" width="12"/>
    <col collapsed="false" customWidth="true" hidden="true" outlineLevel="0" max="30" min="18" style="0" width="13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R3" s="3" t="s">
        <v>2</v>
      </c>
      <c r="S3" s="3" t="s">
        <v>3</v>
      </c>
      <c r="T3" s="3" t="s">
        <v>4</v>
      </c>
      <c r="V3" s="3" t="s">
        <v>2</v>
      </c>
      <c r="W3" s="3" t="s">
        <v>5</v>
      </c>
      <c r="Y3" s="3" t="s">
        <v>6</v>
      </c>
      <c r="Z3" s="3" t="s">
        <v>7</v>
      </c>
      <c r="AA3" s="3" t="s">
        <v>8</v>
      </c>
      <c r="AB3" s="3" t="s">
        <v>9</v>
      </c>
      <c r="AC3" s="3" t="s">
        <v>10</v>
      </c>
      <c r="AD3" s="3" t="s">
        <v>11</v>
      </c>
    </row>
    <row r="4" customFormat="false" ht="15" hidden="false" customHeight="false" outlineLevel="0" collapsed="false">
      <c r="A4" s="4" t="s">
        <v>12</v>
      </c>
      <c r="B4" s="4"/>
      <c r="C4" s="4"/>
      <c r="D4" s="4"/>
      <c r="E4" s="4" t="s">
        <v>13</v>
      </c>
      <c r="F4" s="4"/>
      <c r="G4" s="4"/>
      <c r="H4" s="4"/>
      <c r="I4" s="4" t="s">
        <v>14</v>
      </c>
      <c r="J4" s="4"/>
      <c r="K4" s="4"/>
      <c r="L4" s="4"/>
      <c r="M4" s="4" t="s">
        <v>15</v>
      </c>
      <c r="N4" s="4"/>
      <c r="O4" s="4"/>
      <c r="P4" s="4"/>
      <c r="R4" s="0" t="s">
        <v>16</v>
      </c>
      <c r="S4" s="5" t="n">
        <f aca="false">SUMIFS('Raw Data'!C:C,'Raw Data'!B:B,R4)</f>
        <v>3052110</v>
      </c>
      <c r="T4" s="5" t="n">
        <f aca="false">SUMIFS('Raw Data'!D:D,'Raw Data'!B:B,R4)</f>
        <v>3066975</v>
      </c>
      <c r="V4" s="0" t="s">
        <v>16</v>
      </c>
      <c r="W4" s="5" t="n">
        <f aca="false">SUMIFS('Raw Data'!D:D,'Raw Data'!A:A,"Sales",'Raw Data'!B:B,V4)</f>
        <v>267910</v>
      </c>
      <c r="Y4" s="0" t="s">
        <v>17</v>
      </c>
      <c r="Z4" s="5" t="n">
        <v>0</v>
      </c>
      <c r="AA4" s="5" t="n">
        <v>0</v>
      </c>
      <c r="AB4" s="5" t="n">
        <v>0</v>
      </c>
      <c r="AC4" s="5" t="n">
        <f aca="false">SUM('Raw Data'!C:C)</f>
        <v>28221717</v>
      </c>
      <c r="AD4" s="5" t="n">
        <f aca="false">AC4</f>
        <v>28221717</v>
      </c>
    </row>
    <row r="5" customFormat="false" ht="31.5" hidden="false" customHeight="true" outlineLevel="0" collapsed="false">
      <c r="A5" s="6" t="n">
        <f aca="false">SUMIFS('Raw Data'!D:D,'Raw Data'!A:A,"Sales")</f>
        <v>3401641</v>
      </c>
      <c r="B5" s="6"/>
      <c r="C5" s="6"/>
      <c r="D5" s="6"/>
      <c r="E5" s="7" t="n">
        <f aca="false">SUMIFS('Raw Data'!D:D,'Raw Data'!A:A,"&lt;&gt;Sales")</f>
        <v>24770031</v>
      </c>
      <c r="F5" s="7"/>
      <c r="G5" s="7"/>
      <c r="H5" s="7"/>
      <c r="I5" s="8" t="n">
        <f aca="false">SUMIFS('Raw Data'!D:D,'Raw Data'!A:A,"Sales")-SUMIFS('Raw Data'!D:D,'Raw Data'!A:A,"&lt;&gt;Sales")</f>
        <v>-21368390</v>
      </c>
      <c r="J5" s="8"/>
      <c r="K5" s="8"/>
      <c r="L5" s="8"/>
      <c r="M5" s="9" t="n">
        <f aca="false">(SUM('Raw Data'!D:D)-SUM('Raw Data'!C:C))/SUM('Raw Data'!C:C)</f>
        <v>-0.00177327977599662</v>
      </c>
      <c r="N5" s="9"/>
      <c r="O5" s="9"/>
      <c r="P5" s="9"/>
      <c r="R5" s="0" t="s">
        <v>18</v>
      </c>
      <c r="S5" s="5" t="n">
        <f aca="false">SUMIFS('Raw Data'!C:C,'Raw Data'!B:B,R5)</f>
        <v>2091046</v>
      </c>
      <c r="T5" s="5" t="n">
        <f aca="false">SUMIFS('Raw Data'!D:D,'Raw Data'!B:B,R5)</f>
        <v>2114500</v>
      </c>
      <c r="V5" s="0" t="s">
        <v>18</v>
      </c>
      <c r="W5" s="5" t="n">
        <f aca="false">SUMIFS('Raw Data'!D:D,'Raw Data'!A:A,"Sales",'Raw Data'!B:B,V5)</f>
        <v>50926</v>
      </c>
      <c r="Y5" s="0" t="s">
        <v>19</v>
      </c>
      <c r="Z5" s="5" t="n">
        <f aca="false">AC4-AA5</f>
        <v>28130616</v>
      </c>
      <c r="AA5" s="5" t="n">
        <f aca="false">IF(AD5&lt;0,-AD5,0)</f>
        <v>91101</v>
      </c>
      <c r="AB5" s="5" t="n">
        <f aca="false">IF(AD5&gt;0,AD5,0)</f>
        <v>0</v>
      </c>
      <c r="AC5" s="5" t="n">
        <v>0</v>
      </c>
      <c r="AD5" s="5" t="n">
        <f aca="false">SUMIFS('Raw Data'!D:D,'Raw Data'!A:A,Y5)-SUMIFS('Raw Data'!C:C,'Raw Data'!A:A,Y5)</f>
        <v>-91101</v>
      </c>
    </row>
    <row r="6" customFormat="false" ht="13.5" hidden="false" customHeight="true" outlineLevel="0" collapsed="false">
      <c r="A6" s="6"/>
      <c r="B6" s="6"/>
      <c r="C6" s="6"/>
      <c r="D6" s="6"/>
      <c r="E6" s="7"/>
      <c r="F6" s="7"/>
      <c r="G6" s="7"/>
      <c r="H6" s="7"/>
      <c r="I6" s="8"/>
      <c r="J6" s="8"/>
      <c r="K6" s="8"/>
      <c r="L6" s="8"/>
      <c r="M6" s="9"/>
      <c r="N6" s="9"/>
      <c r="O6" s="9"/>
      <c r="P6" s="9"/>
      <c r="R6" s="0" t="s">
        <v>20</v>
      </c>
      <c r="S6" s="5" t="n">
        <f aca="false">SUMIFS('Raw Data'!C:C,'Raw Data'!B:B,R6)</f>
        <v>2638708</v>
      </c>
      <c r="T6" s="5" t="n">
        <f aca="false">SUMIFS('Raw Data'!D:D,'Raw Data'!B:B,R6)</f>
        <v>2721812</v>
      </c>
      <c r="V6" s="0" t="s">
        <v>20</v>
      </c>
      <c r="W6" s="5" t="n">
        <f aca="false">SUMIFS('Raw Data'!D:D,'Raw Data'!A:A,"Sales",'Raw Data'!B:B,V6)</f>
        <v>53012</v>
      </c>
      <c r="Y6" s="0" t="s">
        <v>21</v>
      </c>
      <c r="Z6" s="5" t="n">
        <f aca="false">Z5+AC5+AB5-AA5-AA6</f>
        <v>28039515</v>
      </c>
      <c r="AA6" s="5" t="n">
        <f aca="false">IF(AD6&lt;0,-AD6,0)</f>
        <v>0</v>
      </c>
      <c r="AB6" s="5" t="n">
        <f aca="false">IF(AD6&gt;0,AD6,0)</f>
        <v>88118</v>
      </c>
      <c r="AC6" s="5" t="n">
        <v>0</v>
      </c>
      <c r="AD6" s="5" t="n">
        <f aca="false">SUMIFS('Raw Data'!D:D,'Raw Data'!A:A,Y6)-SUMIFS('Raw Data'!C:C,'Raw Data'!A:A,Y6)</f>
        <v>88118</v>
      </c>
    </row>
    <row r="7" customFormat="false" ht="15" hidden="false" customHeight="false" outlineLevel="0" collapsed="false">
      <c r="A7" s="10" t="s">
        <v>22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R7" s="0" t="s">
        <v>23</v>
      </c>
      <c r="S7" s="5" t="n">
        <f aca="false">SUMIFS('Raw Data'!C:C,'Raw Data'!B:B,R7)</f>
        <v>2687968</v>
      </c>
      <c r="T7" s="5" t="n">
        <f aca="false">SUMIFS('Raw Data'!D:D,'Raw Data'!B:B,R7)</f>
        <v>2764291</v>
      </c>
      <c r="V7" s="0" t="s">
        <v>23</v>
      </c>
      <c r="W7" s="5" t="n">
        <f aca="false">SUMIFS('Raw Data'!D:D,'Raw Data'!A:A,"Sales",'Raw Data'!B:B,V7)</f>
        <v>18392</v>
      </c>
      <c r="Y7" s="0" t="s">
        <v>24</v>
      </c>
      <c r="Z7" s="5" t="n">
        <f aca="false">Z6+AC6+AB6-AA6-AA7</f>
        <v>28127633</v>
      </c>
      <c r="AA7" s="5" t="n">
        <f aca="false">IF(AD7&lt;0,-AD7,0)</f>
        <v>0</v>
      </c>
      <c r="AB7" s="5" t="n">
        <f aca="false">IF(AD7&gt;0,AD7,0)</f>
        <v>12510</v>
      </c>
      <c r="AC7" s="5" t="n">
        <v>0</v>
      </c>
      <c r="AD7" s="5" t="n">
        <f aca="false">SUMIFS('Raw Data'!D:D,'Raw Data'!A:A,Y7)-SUMIFS('Raw Data'!C:C,'Raw Data'!A:A,Y7)</f>
        <v>12510</v>
      </c>
    </row>
    <row r="8" customFormat="false" ht="15" hidden="false" customHeight="false" outlineLevel="0" collapsed="false">
      <c r="R8" s="0" t="s">
        <v>25</v>
      </c>
      <c r="S8" s="5" t="n">
        <f aca="false">SUMIFS('Raw Data'!C:C,'Raw Data'!B:B,R8)</f>
        <v>1585925</v>
      </c>
      <c r="T8" s="5" t="n">
        <f aca="false">SUMIFS('Raw Data'!D:D,'Raw Data'!B:B,R8)</f>
        <v>1576768</v>
      </c>
      <c r="V8" s="0" t="s">
        <v>25</v>
      </c>
      <c r="W8" s="5" t="n">
        <f aca="false">SUMIFS('Raw Data'!D:D,'Raw Data'!A:A,"Sales",'Raw Data'!B:B,V8)</f>
        <v>602361</v>
      </c>
      <c r="Y8" s="0" t="s">
        <v>26</v>
      </c>
      <c r="Z8" s="5" t="n">
        <f aca="false">Z7+AC7+AB7-AA7-AA8</f>
        <v>28025764</v>
      </c>
      <c r="AA8" s="5" t="n">
        <f aca="false">IF(AD8&lt;0,-AD8,0)</f>
        <v>114379</v>
      </c>
      <c r="AB8" s="5" t="n">
        <f aca="false">IF(AD8&gt;0,AD8,0)</f>
        <v>0</v>
      </c>
      <c r="AC8" s="5" t="n">
        <v>0</v>
      </c>
      <c r="AD8" s="5" t="n">
        <f aca="false">SUMIFS('Raw Data'!D:D,'Raw Data'!A:A,Y8)-SUMIFS('Raw Data'!C:C,'Raw Data'!A:A,Y8)</f>
        <v>-114379</v>
      </c>
    </row>
    <row r="9" customFormat="false" ht="15" hidden="false" customHeight="false" outlineLevel="0" collapsed="false">
      <c r="R9" s="0" t="s">
        <v>27</v>
      </c>
      <c r="S9" s="5" t="n">
        <f aca="false">SUMIFS('Raw Data'!C:C,'Raw Data'!B:B,R9)</f>
        <v>1508713</v>
      </c>
      <c r="T9" s="5" t="n">
        <f aca="false">SUMIFS('Raw Data'!D:D,'Raw Data'!B:B,R9)</f>
        <v>1518273</v>
      </c>
      <c r="V9" s="0" t="s">
        <v>27</v>
      </c>
      <c r="W9" s="5" t="n">
        <f aca="false">SUMIFS('Raw Data'!D:D,'Raw Data'!A:A,"Sales",'Raw Data'!B:B,V9)</f>
        <v>291770</v>
      </c>
      <c r="Y9" s="0" t="s">
        <v>28</v>
      </c>
      <c r="Z9" s="5" t="n">
        <f aca="false">Z8+AC8+AB8-AA8-AA9</f>
        <v>27911385</v>
      </c>
      <c r="AA9" s="5" t="n">
        <f aca="false">IF(AD9&lt;0,-AD9,0)</f>
        <v>0</v>
      </c>
      <c r="AB9" s="5" t="n">
        <f aca="false">IF(AD9&gt;0,AD9,0)</f>
        <v>29269</v>
      </c>
      <c r="AC9" s="5" t="n">
        <v>0</v>
      </c>
      <c r="AD9" s="5" t="n">
        <f aca="false">SUMIFS('Raw Data'!D:D,'Raw Data'!A:A,Y9)-SUMIFS('Raw Data'!C:C,'Raw Data'!A:A,Y9)</f>
        <v>29269</v>
      </c>
    </row>
    <row r="10" customFormat="false" ht="15" hidden="false" customHeight="false" outlineLevel="0" collapsed="false">
      <c r="R10" s="0" t="s">
        <v>29</v>
      </c>
      <c r="S10" s="5" t="n">
        <f aca="false">SUMIFS('Raw Data'!C:C,'Raw Data'!B:B,R10)</f>
        <v>2270552</v>
      </c>
      <c r="T10" s="5" t="n">
        <f aca="false">SUMIFS('Raw Data'!D:D,'Raw Data'!B:B,R10)</f>
        <v>2308696</v>
      </c>
      <c r="V10" s="0" t="s">
        <v>29</v>
      </c>
      <c r="W10" s="5" t="n">
        <f aca="false">SUMIFS('Raw Data'!D:D,'Raw Data'!A:A,"Sales",'Raw Data'!B:B,V10)</f>
        <v>358292</v>
      </c>
      <c r="Y10" s="0" t="s">
        <v>30</v>
      </c>
      <c r="Z10" s="5" t="n">
        <f aca="false">Z9+AC9+AB9-AA9-AA10</f>
        <v>27888914</v>
      </c>
      <c r="AA10" s="5" t="n">
        <f aca="false">IF(AD10&lt;0,-AD10,0)</f>
        <v>51740</v>
      </c>
      <c r="AB10" s="5" t="n">
        <f aca="false">IF(AD10&gt;0,AD10,0)</f>
        <v>0</v>
      </c>
      <c r="AC10" s="5" t="n">
        <v>0</v>
      </c>
      <c r="AD10" s="5" t="n">
        <f aca="false">SUMIFS('Raw Data'!D:D,'Raw Data'!A:A,Y10)-SUMIFS('Raw Data'!C:C,'Raw Data'!A:A,Y10)</f>
        <v>-51740</v>
      </c>
    </row>
    <row r="11" customFormat="false" ht="15" hidden="false" customHeight="false" outlineLevel="0" collapsed="false">
      <c r="R11" s="0" t="s">
        <v>31</v>
      </c>
      <c r="S11" s="5" t="n">
        <f aca="false">SUMIFS('Raw Data'!C:C,'Raw Data'!B:B,R11)</f>
        <v>1150159</v>
      </c>
      <c r="T11" s="5" t="n">
        <f aca="false">SUMIFS('Raw Data'!D:D,'Raw Data'!B:B,R11)</f>
        <v>1161626</v>
      </c>
      <c r="V11" s="0" t="s">
        <v>31</v>
      </c>
      <c r="W11" s="5" t="n">
        <f aca="false">SUMIFS('Raw Data'!D:D,'Raw Data'!A:A,"Sales",'Raw Data'!B:B,V11)</f>
        <v>6230</v>
      </c>
      <c r="Y11" s="0" t="s">
        <v>32</v>
      </c>
      <c r="Z11" s="5" t="n">
        <f aca="false">Z10+AC10+AB10-AA10-AA11</f>
        <v>27837174</v>
      </c>
      <c r="AA11" s="5" t="n">
        <f aca="false">IF(AD11&lt;0,-AD11,0)</f>
        <v>0</v>
      </c>
      <c r="AB11" s="5" t="n">
        <f aca="false">IF(AD11&gt;0,AD11,0)</f>
        <v>25962</v>
      </c>
      <c r="AC11" s="5" t="n">
        <v>0</v>
      </c>
      <c r="AD11" s="5" t="n">
        <f aca="false">SUMIFS('Raw Data'!D:D,'Raw Data'!A:A,Y11)-SUMIFS('Raw Data'!C:C,'Raw Data'!A:A,Y11)</f>
        <v>25962</v>
      </c>
    </row>
    <row r="12" customFormat="false" ht="15" hidden="false" customHeight="false" outlineLevel="0" collapsed="false">
      <c r="R12" s="0" t="s">
        <v>33</v>
      </c>
      <c r="S12" s="5" t="n">
        <f aca="false">SUMIFS('Raw Data'!C:C,'Raw Data'!B:B,R12)</f>
        <v>2077720</v>
      </c>
      <c r="T12" s="5" t="n">
        <f aca="false">SUMIFS('Raw Data'!D:D,'Raw Data'!B:B,R12)</f>
        <v>2021132</v>
      </c>
      <c r="V12" s="0" t="s">
        <v>33</v>
      </c>
      <c r="W12" s="5" t="n">
        <f aca="false">SUMIFS('Raw Data'!D:D,'Raw Data'!A:A,"Sales",'Raw Data'!B:B,V12)</f>
        <v>1064056</v>
      </c>
      <c r="Y12" s="0" t="s">
        <v>34</v>
      </c>
      <c r="Z12" s="5" t="n">
        <f aca="false">Z11+AC11+AB11-AA11-AA12</f>
        <v>27863136</v>
      </c>
      <c r="AA12" s="5" t="n">
        <f aca="false">IF(AD12&lt;0,-AD12,0)</f>
        <v>0</v>
      </c>
      <c r="AB12" s="5" t="n">
        <f aca="false">IF(AD12&gt;0,AD12,0)</f>
        <v>51316</v>
      </c>
      <c r="AC12" s="5" t="n">
        <v>0</v>
      </c>
      <c r="AD12" s="5" t="n">
        <f aca="false">SUMIFS('Raw Data'!D:D,'Raw Data'!A:A,Y12)-SUMIFS('Raw Data'!C:C,'Raw Data'!A:A,Y12)</f>
        <v>51316</v>
      </c>
    </row>
    <row r="13" customFormat="false" ht="15" hidden="false" customHeight="false" outlineLevel="0" collapsed="false">
      <c r="R13" s="0" t="s">
        <v>35</v>
      </c>
      <c r="S13" s="5" t="n">
        <f aca="false">SUMIFS('Raw Data'!C:C,'Raw Data'!B:B,R13)</f>
        <v>3233538</v>
      </c>
      <c r="T13" s="5" t="n">
        <f aca="false">SUMIFS('Raw Data'!D:D,'Raw Data'!B:B,R13)</f>
        <v>3132891</v>
      </c>
      <c r="V13" s="0" t="s">
        <v>35</v>
      </c>
      <c r="W13" s="5" t="n">
        <f aca="false">SUMIFS('Raw Data'!D:D,'Raw Data'!A:A,"Sales",'Raw Data'!B:B,V13)</f>
        <v>551528</v>
      </c>
      <c r="Y13" s="0" t="s">
        <v>36</v>
      </c>
      <c r="Z13" s="5" t="n">
        <v>0</v>
      </c>
      <c r="AA13" s="5" t="n">
        <v>0</v>
      </c>
      <c r="AB13" s="5" t="n">
        <v>0</v>
      </c>
      <c r="AC13" s="5" t="n">
        <f aca="false">SUM('Raw Data'!D:D)</f>
        <v>28171672</v>
      </c>
      <c r="AD13" s="5" t="n">
        <f aca="false">AC13-AC4</f>
        <v>-50045</v>
      </c>
    </row>
    <row r="14" customFormat="false" ht="15" hidden="false" customHeight="false" outlineLevel="0" collapsed="false">
      <c r="R14" s="0" t="s">
        <v>37</v>
      </c>
      <c r="S14" s="5" t="n">
        <f aca="false">SUMIFS('Raw Data'!C:C,'Raw Data'!B:B,R14)</f>
        <v>2744003</v>
      </c>
      <c r="T14" s="5" t="n">
        <f aca="false">SUMIFS('Raw Data'!D:D,'Raw Data'!B:B,R14)</f>
        <v>2675953</v>
      </c>
      <c r="V14" s="0" t="s">
        <v>37</v>
      </c>
      <c r="W14" s="5" t="n">
        <f aca="false">SUMIFS('Raw Data'!D:D,'Raw Data'!A:A,"Sales",'Raw Data'!B:B,V14)</f>
        <v>78090</v>
      </c>
    </row>
    <row r="15" customFormat="false" ht="15" hidden="false" customHeight="false" outlineLevel="0" collapsed="false">
      <c r="R15" s="0" t="s">
        <v>38</v>
      </c>
      <c r="S15" s="5" t="n">
        <f aca="false">SUMIFS('Raw Data'!C:C,'Raw Data'!B:B,R15)</f>
        <v>3181275</v>
      </c>
      <c r="T15" s="5" t="n">
        <f aca="false">SUMIFS('Raw Data'!D:D,'Raw Data'!B:B,R15)</f>
        <v>3108755</v>
      </c>
      <c r="V15" s="0" t="s">
        <v>38</v>
      </c>
      <c r="W15" s="5" t="n">
        <f aca="false">SUMIFS('Raw Data'!D:D,'Raw Data'!A:A,"Sales",'Raw Data'!B:B,V15)</f>
        <v>59074</v>
      </c>
    </row>
    <row r="25" customFormat="false" ht="6" hidden="false" customHeight="true" outlineLevel="0" collapsed="false"/>
  </sheetData>
  <mergeCells count="11">
    <mergeCell ref="A1:P1"/>
    <mergeCell ref="A2:P2"/>
    <mergeCell ref="A4:D4"/>
    <mergeCell ref="E4:H4"/>
    <mergeCell ref="I4:L4"/>
    <mergeCell ref="M4:P4"/>
    <mergeCell ref="A5:D6"/>
    <mergeCell ref="E5:H6"/>
    <mergeCell ref="I5:L6"/>
    <mergeCell ref="M5:P6"/>
    <mergeCell ref="A7:P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1" width="20"/>
    <col collapsed="false" customWidth="true" hidden="false" outlineLevel="0" max="2" min="2" style="11" width="12"/>
    <col collapsed="false" customWidth="true" hidden="false" outlineLevel="0" max="5" min="3" style="11" width="14"/>
    <col collapsed="false" customWidth="true" hidden="false" outlineLevel="0" max="6" min="6" style="11" width="12"/>
  </cols>
  <sheetData>
    <row r="1" customFormat="false" ht="15" hidden="false" customHeight="true" outlineLevel="0" collapsed="false">
      <c r="A1" s="12" t="s">
        <v>39</v>
      </c>
      <c r="B1" s="12" t="s">
        <v>2</v>
      </c>
      <c r="C1" s="12" t="s">
        <v>3</v>
      </c>
      <c r="D1" s="12" t="s">
        <v>4</v>
      </c>
      <c r="E1" s="12" t="s">
        <v>11</v>
      </c>
      <c r="F1" s="12" t="s">
        <v>40</v>
      </c>
    </row>
    <row r="2" customFormat="false" ht="15" hidden="false" customHeight="true" outlineLevel="0" collapsed="false">
      <c r="A2" s="13" t="s">
        <v>19</v>
      </c>
      <c r="B2" s="13" t="s">
        <v>16</v>
      </c>
      <c r="C2" s="14" t="n">
        <v>284101</v>
      </c>
      <c r="D2" s="14" t="n">
        <v>267910</v>
      </c>
      <c r="E2" s="15" t="n">
        <f aca="false">D2-C2</f>
        <v>-16191</v>
      </c>
      <c r="F2" s="16" t="n">
        <f aca="false">IFERROR(E2/C2,0)</f>
        <v>-0.0569902957046966</v>
      </c>
    </row>
    <row r="3" customFormat="false" ht="15" hidden="false" customHeight="true" outlineLevel="0" collapsed="false">
      <c r="A3" s="13" t="s">
        <v>19</v>
      </c>
      <c r="B3" s="13" t="s">
        <v>18</v>
      </c>
      <c r="C3" s="14" t="n">
        <v>52786</v>
      </c>
      <c r="D3" s="14" t="n">
        <v>50926</v>
      </c>
      <c r="E3" s="15" t="n">
        <f aca="false">D3-C3</f>
        <v>-1860</v>
      </c>
      <c r="F3" s="16" t="n">
        <f aca="false">IFERROR(E3/C3,0)</f>
        <v>-0.0352366157693328</v>
      </c>
    </row>
    <row r="4" customFormat="false" ht="15" hidden="false" customHeight="true" outlineLevel="0" collapsed="false">
      <c r="A4" s="13" t="s">
        <v>19</v>
      </c>
      <c r="B4" s="13" t="s">
        <v>20</v>
      </c>
      <c r="C4" s="14" t="n">
        <v>52777</v>
      </c>
      <c r="D4" s="14" t="n">
        <v>53012</v>
      </c>
      <c r="E4" s="15" t="n">
        <f aca="false">D4-C4</f>
        <v>235</v>
      </c>
      <c r="F4" s="16" t="n">
        <f aca="false">IFERROR(E4/C4,0)</f>
        <v>0.00445269719764291</v>
      </c>
    </row>
    <row r="5" customFormat="false" ht="15" hidden="false" customHeight="true" outlineLevel="0" collapsed="false">
      <c r="A5" s="13" t="s">
        <v>19</v>
      </c>
      <c r="B5" s="13" t="s">
        <v>23</v>
      </c>
      <c r="C5" s="14" t="n">
        <v>18621</v>
      </c>
      <c r="D5" s="14" t="n">
        <v>18392</v>
      </c>
      <c r="E5" s="15" t="n">
        <f aca="false">D5-C5</f>
        <v>-229</v>
      </c>
      <c r="F5" s="16" t="n">
        <f aca="false">IFERROR(E5/C5,0)</f>
        <v>-0.0122979431824284</v>
      </c>
    </row>
    <row r="6" customFormat="false" ht="15" hidden="false" customHeight="true" outlineLevel="0" collapsed="false">
      <c r="A6" s="13" t="s">
        <v>19</v>
      </c>
      <c r="B6" s="13" t="s">
        <v>25</v>
      </c>
      <c r="C6" s="14" t="n">
        <v>625881</v>
      </c>
      <c r="D6" s="14" t="n">
        <v>602361</v>
      </c>
      <c r="E6" s="15" t="n">
        <f aca="false">D6-C6</f>
        <v>-23520</v>
      </c>
      <c r="F6" s="16" t="n">
        <f aca="false">IFERROR(E6/C6,0)</f>
        <v>-0.0375790286012836</v>
      </c>
    </row>
    <row r="7" customFormat="false" ht="15" hidden="false" customHeight="true" outlineLevel="0" collapsed="false">
      <c r="A7" s="13" t="s">
        <v>19</v>
      </c>
      <c r="B7" s="13" t="s">
        <v>27</v>
      </c>
      <c r="C7" s="14" t="n">
        <v>286012</v>
      </c>
      <c r="D7" s="14" t="n">
        <v>291770</v>
      </c>
      <c r="E7" s="15" t="n">
        <f aca="false">D7-C7</f>
        <v>5758</v>
      </c>
      <c r="F7" s="16" t="n">
        <f aca="false">IFERROR(E7/C7,0)</f>
        <v>0.0201320224326252</v>
      </c>
    </row>
    <row r="8" customFormat="false" ht="15" hidden="false" customHeight="true" outlineLevel="0" collapsed="false">
      <c r="A8" s="13" t="s">
        <v>19</v>
      </c>
      <c r="B8" s="13" t="s">
        <v>29</v>
      </c>
      <c r="C8" s="14" t="n">
        <v>383156</v>
      </c>
      <c r="D8" s="14" t="n">
        <v>358292</v>
      </c>
      <c r="E8" s="15" t="n">
        <f aca="false">D8-C8</f>
        <v>-24864</v>
      </c>
      <c r="F8" s="16" t="n">
        <f aca="false">IFERROR(E8/C8,0)</f>
        <v>-0.0648926285899216</v>
      </c>
    </row>
    <row r="9" customFormat="false" ht="15" hidden="false" customHeight="true" outlineLevel="0" collapsed="false">
      <c r="A9" s="13" t="s">
        <v>19</v>
      </c>
      <c r="B9" s="13" t="s">
        <v>31</v>
      </c>
      <c r="C9" s="14" t="n">
        <v>6473</v>
      </c>
      <c r="D9" s="14" t="n">
        <v>6230</v>
      </c>
      <c r="E9" s="15" t="n">
        <f aca="false">D9-C9</f>
        <v>-243</v>
      </c>
      <c r="F9" s="16" t="n">
        <f aca="false">IFERROR(E9/C9,0)</f>
        <v>-0.0375405530665843</v>
      </c>
    </row>
    <row r="10" customFormat="false" ht="15" hidden="false" customHeight="true" outlineLevel="0" collapsed="false">
      <c r="A10" s="13" t="s">
        <v>19</v>
      </c>
      <c r="B10" s="13" t="s">
        <v>33</v>
      </c>
      <c r="C10" s="14" t="n">
        <v>1090283</v>
      </c>
      <c r="D10" s="14" t="n">
        <v>1064056</v>
      </c>
      <c r="E10" s="15" t="n">
        <f aca="false">D10-C10</f>
        <v>-26227</v>
      </c>
      <c r="F10" s="16" t="n">
        <f aca="false">IFERROR(E10/C10,0)</f>
        <v>-0.0240552223596993</v>
      </c>
    </row>
    <row r="11" customFormat="false" ht="15" hidden="false" customHeight="true" outlineLevel="0" collapsed="false">
      <c r="A11" s="13" t="s">
        <v>19</v>
      </c>
      <c r="B11" s="13" t="s">
        <v>35</v>
      </c>
      <c r="C11" s="14" t="n">
        <v>555924</v>
      </c>
      <c r="D11" s="14" t="n">
        <v>551528</v>
      </c>
      <c r="E11" s="15" t="n">
        <f aca="false">D11-C11</f>
        <v>-4396</v>
      </c>
      <c r="F11" s="16" t="n">
        <f aca="false">IFERROR(E11/C11,0)</f>
        <v>-0.00790755570905376</v>
      </c>
    </row>
    <row r="12" customFormat="false" ht="15" hidden="false" customHeight="true" outlineLevel="0" collapsed="false">
      <c r="A12" s="13" t="s">
        <v>19</v>
      </c>
      <c r="B12" s="13" t="s">
        <v>37</v>
      </c>
      <c r="C12" s="14" t="n">
        <v>74278</v>
      </c>
      <c r="D12" s="14" t="n">
        <v>78090</v>
      </c>
      <c r="E12" s="15" t="n">
        <f aca="false">D12-C12</f>
        <v>3812</v>
      </c>
      <c r="F12" s="16" t="n">
        <f aca="false">IFERROR(E12/C12,0)</f>
        <v>0.0513207140741539</v>
      </c>
    </row>
    <row r="13" customFormat="false" ht="15" hidden="false" customHeight="true" outlineLevel="0" collapsed="false">
      <c r="A13" s="13" t="s">
        <v>19</v>
      </c>
      <c r="B13" s="13" t="s">
        <v>38</v>
      </c>
      <c r="C13" s="14" t="n">
        <v>62450</v>
      </c>
      <c r="D13" s="14" t="n">
        <v>59074</v>
      </c>
      <c r="E13" s="15" t="n">
        <f aca="false">D13-C13</f>
        <v>-3376</v>
      </c>
      <c r="F13" s="16" t="n">
        <f aca="false">IFERROR(E13/C13,0)</f>
        <v>-0.0540592473979183</v>
      </c>
    </row>
    <row r="14" customFormat="false" ht="15" hidden="false" customHeight="true" outlineLevel="0" collapsed="false">
      <c r="A14" s="13" t="s">
        <v>21</v>
      </c>
      <c r="B14" s="13" t="s">
        <v>16</v>
      </c>
      <c r="C14" s="14" t="n">
        <v>1310207</v>
      </c>
      <c r="D14" s="14" t="n">
        <v>1353427</v>
      </c>
      <c r="E14" s="15" t="n">
        <f aca="false">D14-C14</f>
        <v>43220</v>
      </c>
      <c r="F14" s="16" t="n">
        <f aca="false">IFERROR(E14/C14,0)</f>
        <v>0.0329871539382708</v>
      </c>
    </row>
    <row r="15" customFormat="false" ht="15" hidden="false" customHeight="true" outlineLevel="0" collapsed="false">
      <c r="A15" s="13" t="s">
        <v>21</v>
      </c>
      <c r="B15" s="13" t="s">
        <v>18</v>
      </c>
      <c r="C15" s="14" t="n">
        <v>201517</v>
      </c>
      <c r="D15" s="14" t="n">
        <v>205506</v>
      </c>
      <c r="E15" s="15" t="n">
        <f aca="false">D15-C15</f>
        <v>3989</v>
      </c>
      <c r="F15" s="16" t="n">
        <f aca="false">IFERROR(E15/C15,0)</f>
        <v>0.0197948560171102</v>
      </c>
    </row>
    <row r="16" customFormat="false" ht="15" hidden="false" customHeight="true" outlineLevel="0" collapsed="false">
      <c r="A16" s="13" t="s">
        <v>21</v>
      </c>
      <c r="B16" s="13" t="s">
        <v>20</v>
      </c>
      <c r="C16" s="14" t="n">
        <v>629971</v>
      </c>
      <c r="D16" s="14" t="n">
        <v>667753</v>
      </c>
      <c r="E16" s="15" t="n">
        <f aca="false">D16-C16</f>
        <v>37782</v>
      </c>
      <c r="F16" s="16" t="n">
        <f aca="false">IFERROR(E16/C16,0)</f>
        <v>0.0599741892880783</v>
      </c>
    </row>
    <row r="17" customFormat="false" ht="15" hidden="false" customHeight="true" outlineLevel="0" collapsed="false">
      <c r="A17" s="13" t="s">
        <v>21</v>
      </c>
      <c r="B17" s="13" t="s">
        <v>23</v>
      </c>
      <c r="C17" s="14" t="n">
        <v>365478</v>
      </c>
      <c r="D17" s="14" t="n">
        <v>343989</v>
      </c>
      <c r="E17" s="15" t="n">
        <f aca="false">D17-C17</f>
        <v>-21489</v>
      </c>
      <c r="F17" s="16" t="n">
        <f aca="false">IFERROR(E17/C17,0)</f>
        <v>-0.0587969727316008</v>
      </c>
    </row>
    <row r="18" customFormat="false" ht="15" hidden="false" customHeight="true" outlineLevel="0" collapsed="false">
      <c r="A18" s="13" t="s">
        <v>21</v>
      </c>
      <c r="B18" s="13" t="s">
        <v>25</v>
      </c>
      <c r="C18" s="14" t="n">
        <v>191888</v>
      </c>
      <c r="D18" s="14" t="n">
        <v>188125</v>
      </c>
      <c r="E18" s="15" t="n">
        <f aca="false">D18-C18</f>
        <v>-3763</v>
      </c>
      <c r="F18" s="16" t="n">
        <f aca="false">IFERROR(E18/C18,0)</f>
        <v>-0.0196103977320103</v>
      </c>
    </row>
    <row r="19" customFormat="false" ht="15" hidden="false" customHeight="true" outlineLevel="0" collapsed="false">
      <c r="A19" s="13" t="s">
        <v>21</v>
      </c>
      <c r="B19" s="13" t="s">
        <v>27</v>
      </c>
      <c r="C19" s="14" t="n">
        <v>4280</v>
      </c>
      <c r="D19" s="14" t="n">
        <v>4035</v>
      </c>
      <c r="E19" s="15" t="n">
        <f aca="false">D19-C19</f>
        <v>-245</v>
      </c>
      <c r="F19" s="16" t="n">
        <f aca="false">IFERROR(E19/C19,0)</f>
        <v>-0.0572429906542056</v>
      </c>
    </row>
    <row r="20" customFormat="false" ht="15" hidden="false" customHeight="true" outlineLevel="0" collapsed="false">
      <c r="A20" s="13" t="s">
        <v>21</v>
      </c>
      <c r="B20" s="13" t="s">
        <v>29</v>
      </c>
      <c r="C20" s="14" t="n">
        <v>913634</v>
      </c>
      <c r="D20" s="14" t="n">
        <v>955629</v>
      </c>
      <c r="E20" s="15" t="n">
        <f aca="false">D20-C20</f>
        <v>41995</v>
      </c>
      <c r="F20" s="16" t="n">
        <f aca="false">IFERROR(E20/C20,0)</f>
        <v>0.0459647955308143</v>
      </c>
    </row>
    <row r="21" customFormat="false" ht="15" hidden="false" customHeight="true" outlineLevel="0" collapsed="false">
      <c r="A21" s="13" t="s">
        <v>21</v>
      </c>
      <c r="B21" s="13" t="s">
        <v>31</v>
      </c>
      <c r="C21" s="14" t="n">
        <v>265515</v>
      </c>
      <c r="D21" s="14" t="n">
        <v>261937</v>
      </c>
      <c r="E21" s="15" t="n">
        <f aca="false">D21-C21</f>
        <v>-3578</v>
      </c>
      <c r="F21" s="16" t="n">
        <f aca="false">IFERROR(E21/C21,0)</f>
        <v>-0.0134756981714781</v>
      </c>
    </row>
    <row r="22" customFormat="false" ht="15" hidden="false" customHeight="true" outlineLevel="0" collapsed="false">
      <c r="A22" s="13" t="s">
        <v>21</v>
      </c>
      <c r="B22" s="13" t="s">
        <v>33</v>
      </c>
      <c r="C22" s="14" t="n">
        <v>156015</v>
      </c>
      <c r="D22" s="14" t="n">
        <v>147813</v>
      </c>
      <c r="E22" s="15" t="n">
        <f aca="false">D22-C22</f>
        <v>-8202</v>
      </c>
      <c r="F22" s="16" t="n">
        <f aca="false">IFERROR(E22/C22,0)</f>
        <v>-0.0525718680896068</v>
      </c>
    </row>
    <row r="23" customFormat="false" ht="15" hidden="false" customHeight="true" outlineLevel="0" collapsed="false">
      <c r="A23" s="13" t="s">
        <v>21</v>
      </c>
      <c r="B23" s="13" t="s">
        <v>35</v>
      </c>
      <c r="C23" s="14" t="n">
        <v>5158</v>
      </c>
      <c r="D23" s="14" t="n">
        <v>5220</v>
      </c>
      <c r="E23" s="15" t="n">
        <f aca="false">D23-C23</f>
        <v>62</v>
      </c>
      <c r="F23" s="16" t="n">
        <f aca="false">IFERROR(E23/C23,0)</f>
        <v>0.0120201628538193</v>
      </c>
    </row>
    <row r="24" customFormat="false" ht="15" hidden="false" customHeight="true" outlineLevel="0" collapsed="false">
      <c r="A24" s="13" t="s">
        <v>21</v>
      </c>
      <c r="B24" s="13" t="s">
        <v>37</v>
      </c>
      <c r="C24" s="14" t="n">
        <v>84135</v>
      </c>
      <c r="D24" s="14" t="n">
        <v>77037</v>
      </c>
      <c r="E24" s="15" t="n">
        <f aca="false">D24-C24</f>
        <v>-7098</v>
      </c>
      <c r="F24" s="16" t="n">
        <f aca="false">IFERROR(E24/C24,0)</f>
        <v>-0.0843644143341059</v>
      </c>
    </row>
    <row r="25" customFormat="false" ht="15" hidden="false" customHeight="true" outlineLevel="0" collapsed="false">
      <c r="A25" s="13" t="s">
        <v>21</v>
      </c>
      <c r="B25" s="13" t="s">
        <v>38</v>
      </c>
      <c r="C25" s="14" t="n">
        <v>88385</v>
      </c>
      <c r="D25" s="14" t="n">
        <v>93830</v>
      </c>
      <c r="E25" s="15" t="n">
        <f aca="false">D25-C25</f>
        <v>5445</v>
      </c>
      <c r="F25" s="16" t="n">
        <f aca="false">IFERROR(E25/C25,0)</f>
        <v>0.0616054760423149</v>
      </c>
    </row>
    <row r="26" customFormat="false" ht="15" hidden="false" customHeight="true" outlineLevel="0" collapsed="false">
      <c r="A26" s="13" t="s">
        <v>24</v>
      </c>
      <c r="B26" s="13" t="s">
        <v>16</v>
      </c>
      <c r="C26" s="14" t="n">
        <v>936211</v>
      </c>
      <c r="D26" s="14" t="n">
        <v>899294</v>
      </c>
      <c r="E26" s="15" t="n">
        <f aca="false">D26-C26</f>
        <v>-36917</v>
      </c>
      <c r="F26" s="16" t="n">
        <f aca="false">IFERROR(E26/C26,0)</f>
        <v>-0.0394323501860158</v>
      </c>
    </row>
    <row r="27" customFormat="false" ht="15" hidden="false" customHeight="true" outlineLevel="0" collapsed="false">
      <c r="A27" s="13" t="s">
        <v>24</v>
      </c>
      <c r="B27" s="13" t="s">
        <v>18</v>
      </c>
      <c r="C27" s="14" t="n">
        <v>751664</v>
      </c>
      <c r="D27" s="14" t="n">
        <v>757440</v>
      </c>
      <c r="E27" s="15" t="n">
        <f aca="false">D27-C27</f>
        <v>5776</v>
      </c>
      <c r="F27" s="16" t="n">
        <f aca="false">IFERROR(E27/C27,0)</f>
        <v>0.00768428446752804</v>
      </c>
    </row>
    <row r="28" customFormat="false" ht="15" hidden="false" customHeight="true" outlineLevel="0" collapsed="false">
      <c r="A28" s="13" t="s">
        <v>24</v>
      </c>
      <c r="B28" s="13" t="s">
        <v>20</v>
      </c>
      <c r="C28" s="14" t="n">
        <v>304068</v>
      </c>
      <c r="D28" s="14" t="n">
        <v>284414</v>
      </c>
      <c r="E28" s="15" t="n">
        <f aca="false">D28-C28</f>
        <v>-19654</v>
      </c>
      <c r="F28" s="16" t="n">
        <f aca="false">IFERROR(E28/C28,0)</f>
        <v>-0.0646368575450228</v>
      </c>
    </row>
    <row r="29" customFormat="false" ht="15" hidden="false" customHeight="true" outlineLevel="0" collapsed="false">
      <c r="A29" s="13" t="s">
        <v>24</v>
      </c>
      <c r="B29" s="13" t="s">
        <v>23</v>
      </c>
      <c r="C29" s="14" t="n">
        <v>850883</v>
      </c>
      <c r="D29" s="14" t="n">
        <v>897167</v>
      </c>
      <c r="E29" s="15" t="n">
        <f aca="false">D29-C29</f>
        <v>46284</v>
      </c>
      <c r="F29" s="16" t="n">
        <f aca="false">IFERROR(E29/C29,0)</f>
        <v>0.0543952576323654</v>
      </c>
    </row>
    <row r="30" customFormat="false" ht="15" hidden="false" customHeight="true" outlineLevel="0" collapsed="false">
      <c r="A30" s="13" t="s">
        <v>24</v>
      </c>
      <c r="B30" s="13" t="s">
        <v>25</v>
      </c>
      <c r="C30" s="14" t="n">
        <v>30924</v>
      </c>
      <c r="D30" s="14" t="n">
        <v>28555</v>
      </c>
      <c r="E30" s="15" t="n">
        <f aca="false">D30-C30</f>
        <v>-2369</v>
      </c>
      <c r="F30" s="16" t="n">
        <f aca="false">IFERROR(E30/C30,0)</f>
        <v>-0.0766071659552451</v>
      </c>
    </row>
    <row r="31" customFormat="false" ht="15" hidden="false" customHeight="true" outlineLevel="0" collapsed="false">
      <c r="A31" s="13" t="s">
        <v>24</v>
      </c>
      <c r="B31" s="13" t="s">
        <v>27</v>
      </c>
      <c r="C31" s="14" t="n">
        <v>72803</v>
      </c>
      <c r="D31" s="14" t="n">
        <v>79183</v>
      </c>
      <c r="E31" s="15" t="n">
        <f aca="false">D31-C31</f>
        <v>6380</v>
      </c>
      <c r="F31" s="16" t="n">
        <f aca="false">IFERROR(E31/C31,0)</f>
        <v>0.0876337513564002</v>
      </c>
    </row>
    <row r="32" customFormat="false" ht="15" hidden="false" customHeight="true" outlineLevel="0" collapsed="false">
      <c r="A32" s="13" t="s">
        <v>24</v>
      </c>
      <c r="B32" s="13" t="s">
        <v>29</v>
      </c>
      <c r="C32" s="14" t="n">
        <v>15447</v>
      </c>
      <c r="D32" s="14" t="n">
        <v>16203</v>
      </c>
      <c r="E32" s="15" t="n">
        <f aca="false">D32-C32</f>
        <v>756</v>
      </c>
      <c r="F32" s="16" t="n">
        <f aca="false">IFERROR(E32/C32,0)</f>
        <v>0.0489415420469994</v>
      </c>
    </row>
    <row r="33" customFormat="false" ht="15" hidden="false" customHeight="true" outlineLevel="0" collapsed="false">
      <c r="A33" s="13" t="s">
        <v>24</v>
      </c>
      <c r="B33" s="13" t="s">
        <v>31</v>
      </c>
      <c r="C33" s="14" t="n">
        <v>131343</v>
      </c>
      <c r="D33" s="14" t="n">
        <v>124220</v>
      </c>
      <c r="E33" s="15" t="n">
        <f aca="false">D33-C33</f>
        <v>-7123</v>
      </c>
      <c r="F33" s="16" t="n">
        <f aca="false">IFERROR(E33/C33,0)</f>
        <v>-0.0542320489101056</v>
      </c>
    </row>
    <row r="34" customFormat="false" ht="15" hidden="false" customHeight="true" outlineLevel="0" collapsed="false">
      <c r="A34" s="13" t="s">
        <v>24</v>
      </c>
      <c r="B34" s="13" t="s">
        <v>33</v>
      </c>
      <c r="C34" s="14" t="n">
        <v>164250</v>
      </c>
      <c r="D34" s="14" t="n">
        <v>149630</v>
      </c>
      <c r="E34" s="15" t="n">
        <f aca="false">D34-C34</f>
        <v>-14620</v>
      </c>
      <c r="F34" s="16" t="n">
        <f aca="false">IFERROR(E34/C34,0)</f>
        <v>-0.0890106544901066</v>
      </c>
    </row>
    <row r="35" customFormat="false" ht="15" hidden="false" customHeight="true" outlineLevel="0" collapsed="false">
      <c r="A35" s="13" t="s">
        <v>24</v>
      </c>
      <c r="B35" s="13" t="s">
        <v>35</v>
      </c>
      <c r="C35" s="14" t="n">
        <v>105653</v>
      </c>
      <c r="D35" s="14" t="n">
        <v>111652</v>
      </c>
      <c r="E35" s="15" t="n">
        <f aca="false">D35-C35</f>
        <v>5999</v>
      </c>
      <c r="F35" s="16" t="n">
        <f aca="false">IFERROR(E35/C35,0)</f>
        <v>0.0567802144756893</v>
      </c>
    </row>
    <row r="36" customFormat="false" ht="15" hidden="false" customHeight="true" outlineLevel="0" collapsed="false">
      <c r="A36" s="13" t="s">
        <v>24</v>
      </c>
      <c r="B36" s="13" t="s">
        <v>37</v>
      </c>
      <c r="C36" s="14" t="n">
        <v>588928</v>
      </c>
      <c r="D36" s="14" t="n">
        <v>610856</v>
      </c>
      <c r="E36" s="15" t="n">
        <f aca="false">D36-C36</f>
        <v>21928</v>
      </c>
      <c r="F36" s="16" t="n">
        <f aca="false">IFERROR(E36/C36,0)</f>
        <v>0.0372337535318409</v>
      </c>
    </row>
    <row r="37" customFormat="false" ht="15" hidden="false" customHeight="true" outlineLevel="0" collapsed="false">
      <c r="A37" s="13" t="s">
        <v>24</v>
      </c>
      <c r="B37" s="13" t="s">
        <v>38</v>
      </c>
      <c r="C37" s="14" t="n">
        <v>147261</v>
      </c>
      <c r="D37" s="14" t="n">
        <v>153331</v>
      </c>
      <c r="E37" s="15" t="n">
        <f aca="false">D37-C37</f>
        <v>6070</v>
      </c>
      <c r="F37" s="16" t="n">
        <f aca="false">IFERROR(E37/C37,0)</f>
        <v>0.0412193316628299</v>
      </c>
    </row>
    <row r="38" customFormat="false" ht="15" hidden="false" customHeight="true" outlineLevel="0" collapsed="false">
      <c r="A38" s="13" t="s">
        <v>26</v>
      </c>
      <c r="B38" s="13" t="s">
        <v>16</v>
      </c>
      <c r="C38" s="14" t="n">
        <v>32179</v>
      </c>
      <c r="D38" s="14" t="n">
        <v>32018</v>
      </c>
      <c r="E38" s="15" t="n">
        <f aca="false">D38-C38</f>
        <v>-161</v>
      </c>
      <c r="F38" s="16" t="n">
        <f aca="false">IFERROR(E38/C38,0)</f>
        <v>-0.00500326299760714</v>
      </c>
    </row>
    <row r="39" customFormat="false" ht="15" hidden="false" customHeight="true" outlineLevel="0" collapsed="false">
      <c r="A39" s="13" t="s">
        <v>26</v>
      </c>
      <c r="B39" s="13" t="s">
        <v>18</v>
      </c>
      <c r="C39" s="14" t="n">
        <v>185677</v>
      </c>
      <c r="D39" s="14" t="n">
        <v>172963</v>
      </c>
      <c r="E39" s="15" t="n">
        <f aca="false">D39-C39</f>
        <v>-12714</v>
      </c>
      <c r="F39" s="16" t="n">
        <f aca="false">IFERROR(E39/C39,0)</f>
        <v>-0.0684737474215977</v>
      </c>
    </row>
    <row r="40" customFormat="false" ht="15" hidden="false" customHeight="true" outlineLevel="0" collapsed="false">
      <c r="A40" s="13" t="s">
        <v>26</v>
      </c>
      <c r="B40" s="13" t="s">
        <v>20</v>
      </c>
      <c r="C40" s="14" t="n">
        <v>51513</v>
      </c>
      <c r="D40" s="14" t="n">
        <v>53490</v>
      </c>
      <c r="E40" s="15" t="n">
        <f aca="false">D40-C40</f>
        <v>1977</v>
      </c>
      <c r="F40" s="16" t="n">
        <f aca="false">IFERROR(E40/C40,0)</f>
        <v>0.0383786616970473</v>
      </c>
    </row>
    <row r="41" customFormat="false" ht="15" hidden="false" customHeight="true" outlineLevel="0" collapsed="false">
      <c r="A41" s="13" t="s">
        <v>26</v>
      </c>
      <c r="B41" s="13" t="s">
        <v>23</v>
      </c>
      <c r="C41" s="14" t="n">
        <v>831785</v>
      </c>
      <c r="D41" s="14" t="n">
        <v>870830</v>
      </c>
      <c r="E41" s="15" t="n">
        <f aca="false">D41-C41</f>
        <v>39045</v>
      </c>
      <c r="F41" s="16" t="n">
        <f aca="false">IFERROR(E41/C41,0)</f>
        <v>0.0469412167807787</v>
      </c>
    </row>
    <row r="42" customFormat="false" ht="15" hidden="false" customHeight="true" outlineLevel="0" collapsed="false">
      <c r="A42" s="13" t="s">
        <v>26</v>
      </c>
      <c r="B42" s="13" t="s">
        <v>25</v>
      </c>
      <c r="C42" s="14" t="n">
        <v>408379</v>
      </c>
      <c r="D42" s="14" t="n">
        <v>412883</v>
      </c>
      <c r="E42" s="15" t="n">
        <f aca="false">D42-C42</f>
        <v>4504</v>
      </c>
      <c r="F42" s="16" t="n">
        <f aca="false">IFERROR(E42/C42,0)</f>
        <v>0.0110289706375695</v>
      </c>
    </row>
    <row r="43" customFormat="false" ht="15" hidden="false" customHeight="true" outlineLevel="0" collapsed="false">
      <c r="A43" s="13" t="s">
        <v>26</v>
      </c>
      <c r="B43" s="13" t="s">
        <v>27</v>
      </c>
      <c r="C43" s="14" t="n">
        <v>168077</v>
      </c>
      <c r="D43" s="14" t="n">
        <v>176274</v>
      </c>
      <c r="E43" s="15" t="n">
        <f aca="false">D43-C43</f>
        <v>8197</v>
      </c>
      <c r="F43" s="16" t="n">
        <f aca="false">IFERROR(E43/C43,0)</f>
        <v>0.0487693140643872</v>
      </c>
    </row>
    <row r="44" customFormat="false" ht="15" hidden="false" customHeight="true" outlineLevel="0" collapsed="false">
      <c r="A44" s="13" t="s">
        <v>26</v>
      </c>
      <c r="B44" s="13" t="s">
        <v>29</v>
      </c>
      <c r="C44" s="14" t="n">
        <v>27468</v>
      </c>
      <c r="D44" s="14" t="n">
        <v>27437</v>
      </c>
      <c r="E44" s="15" t="n">
        <f aca="false">D44-C44</f>
        <v>-31</v>
      </c>
      <c r="F44" s="16" t="n">
        <f aca="false">IFERROR(E44/C44,0)</f>
        <v>-0.00112858599097131</v>
      </c>
    </row>
    <row r="45" customFormat="false" ht="15" hidden="false" customHeight="true" outlineLevel="0" collapsed="false">
      <c r="A45" s="13" t="s">
        <v>26</v>
      </c>
      <c r="B45" s="13" t="s">
        <v>31</v>
      </c>
      <c r="C45" s="14" t="n">
        <v>155809</v>
      </c>
      <c r="D45" s="14" t="n">
        <v>156446</v>
      </c>
      <c r="E45" s="15" t="n">
        <f aca="false">D45-C45</f>
        <v>637</v>
      </c>
      <c r="F45" s="16" t="n">
        <f aca="false">IFERROR(E45/C45,0)</f>
        <v>0.00408833892778979</v>
      </c>
    </row>
    <row r="46" customFormat="false" ht="15" hidden="false" customHeight="true" outlineLevel="0" collapsed="false">
      <c r="A46" s="13" t="s">
        <v>26</v>
      </c>
      <c r="B46" s="13" t="s">
        <v>33</v>
      </c>
      <c r="C46" s="14" t="n">
        <v>164520</v>
      </c>
      <c r="D46" s="14" t="n">
        <v>162374</v>
      </c>
      <c r="E46" s="15" t="n">
        <f aca="false">D46-C46</f>
        <v>-2146</v>
      </c>
      <c r="F46" s="16" t="n">
        <f aca="false">IFERROR(E46/C46,0)</f>
        <v>-0.013044006807683</v>
      </c>
    </row>
    <row r="47" customFormat="false" ht="15" hidden="false" customHeight="true" outlineLevel="0" collapsed="false">
      <c r="A47" s="13" t="s">
        <v>26</v>
      </c>
      <c r="B47" s="13" t="s">
        <v>35</v>
      </c>
      <c r="C47" s="14" t="n">
        <v>547074</v>
      </c>
      <c r="D47" s="14" t="n">
        <v>500340</v>
      </c>
      <c r="E47" s="15" t="n">
        <f aca="false">D47-C47</f>
        <v>-46734</v>
      </c>
      <c r="F47" s="16" t="n">
        <f aca="false">IFERROR(E47/C47,0)</f>
        <v>-0.0854253720703232</v>
      </c>
    </row>
    <row r="48" customFormat="false" ht="15" hidden="false" customHeight="true" outlineLevel="0" collapsed="false">
      <c r="A48" s="13" t="s">
        <v>26</v>
      </c>
      <c r="B48" s="13" t="s">
        <v>37</v>
      </c>
      <c r="C48" s="14" t="n">
        <v>424520</v>
      </c>
      <c r="D48" s="14" t="n">
        <v>394557</v>
      </c>
      <c r="E48" s="15" t="n">
        <f aca="false">D48-C48</f>
        <v>-29963</v>
      </c>
      <c r="F48" s="16" t="n">
        <f aca="false">IFERROR(E48/C48,0)</f>
        <v>-0.0705808913596533</v>
      </c>
    </row>
    <row r="49" customFormat="false" ht="15" hidden="false" customHeight="true" outlineLevel="0" collapsed="false">
      <c r="A49" s="13" t="s">
        <v>26</v>
      </c>
      <c r="B49" s="13" t="s">
        <v>38</v>
      </c>
      <c r="C49" s="14" t="n">
        <v>912818</v>
      </c>
      <c r="D49" s="14" t="n">
        <v>835828</v>
      </c>
      <c r="E49" s="15" t="n">
        <f aca="false">D49-C49</f>
        <v>-76990</v>
      </c>
      <c r="F49" s="16" t="n">
        <f aca="false">IFERROR(E49/C49,0)</f>
        <v>-0.0843432097088357</v>
      </c>
    </row>
    <row r="50" customFormat="false" ht="15" hidden="false" customHeight="true" outlineLevel="0" collapsed="false">
      <c r="A50" s="13" t="s">
        <v>28</v>
      </c>
      <c r="B50" s="13" t="s">
        <v>16</v>
      </c>
      <c r="C50" s="14" t="n">
        <v>176168</v>
      </c>
      <c r="D50" s="14" t="n">
        <v>180398</v>
      </c>
      <c r="E50" s="15" t="n">
        <f aca="false">D50-C50</f>
        <v>4230</v>
      </c>
      <c r="F50" s="16" t="n">
        <f aca="false">IFERROR(E50/C50,0)</f>
        <v>0.0240111711548068</v>
      </c>
    </row>
    <row r="51" customFormat="false" ht="15" hidden="false" customHeight="true" outlineLevel="0" collapsed="false">
      <c r="A51" s="13" t="s">
        <v>28</v>
      </c>
      <c r="B51" s="13" t="s">
        <v>18</v>
      </c>
      <c r="C51" s="14" t="n">
        <v>331631</v>
      </c>
      <c r="D51" s="14" t="n">
        <v>353804</v>
      </c>
      <c r="E51" s="15" t="n">
        <f aca="false">D51-C51</f>
        <v>22173</v>
      </c>
      <c r="F51" s="16" t="n">
        <f aca="false">IFERROR(E51/C51,0)</f>
        <v>0.0668604563505824</v>
      </c>
    </row>
    <row r="52" customFormat="false" ht="15" hidden="false" customHeight="true" outlineLevel="0" collapsed="false">
      <c r="A52" s="13" t="s">
        <v>28</v>
      </c>
      <c r="B52" s="13" t="s">
        <v>20</v>
      </c>
      <c r="C52" s="14" t="n">
        <v>1111570</v>
      </c>
      <c r="D52" s="14" t="n">
        <v>1172329</v>
      </c>
      <c r="E52" s="15" t="n">
        <f aca="false">D52-C52</f>
        <v>60759</v>
      </c>
      <c r="F52" s="16" t="n">
        <f aca="false">IFERROR(E52/C52,0)</f>
        <v>0.0546605252030911</v>
      </c>
    </row>
    <row r="53" customFormat="false" ht="15" hidden="false" customHeight="true" outlineLevel="0" collapsed="false">
      <c r="A53" s="13" t="s">
        <v>28</v>
      </c>
      <c r="B53" s="13" t="s">
        <v>23</v>
      </c>
      <c r="C53" s="14" t="n">
        <v>133849</v>
      </c>
      <c r="D53" s="14" t="n">
        <v>126297</v>
      </c>
      <c r="E53" s="15" t="n">
        <f aca="false">D53-C53</f>
        <v>-7552</v>
      </c>
      <c r="F53" s="16" t="n">
        <f aca="false">IFERROR(E53/C53,0)</f>
        <v>-0.0564217887320787</v>
      </c>
    </row>
    <row r="54" customFormat="false" ht="15" hidden="false" customHeight="true" outlineLevel="0" collapsed="false">
      <c r="A54" s="13" t="s">
        <v>28</v>
      </c>
      <c r="B54" s="13" t="s">
        <v>25</v>
      </c>
      <c r="C54" s="14" t="n">
        <v>246601</v>
      </c>
      <c r="D54" s="14" t="n">
        <v>264025</v>
      </c>
      <c r="E54" s="15" t="n">
        <f aca="false">D54-C54</f>
        <v>17424</v>
      </c>
      <c r="F54" s="16" t="n">
        <f aca="false">IFERROR(E54/C54,0)</f>
        <v>0.0706566477832612</v>
      </c>
    </row>
    <row r="55" customFormat="false" ht="15" hidden="false" customHeight="true" outlineLevel="0" collapsed="false">
      <c r="A55" s="13" t="s">
        <v>28</v>
      </c>
      <c r="B55" s="13" t="s">
        <v>27</v>
      </c>
      <c r="C55" s="14" t="n">
        <v>657601</v>
      </c>
      <c r="D55" s="14" t="n">
        <v>662257</v>
      </c>
      <c r="E55" s="15" t="n">
        <f aca="false">D55-C55</f>
        <v>4656</v>
      </c>
      <c r="F55" s="16" t="n">
        <f aca="false">IFERROR(E55/C55,0)</f>
        <v>0.00708028120395194</v>
      </c>
    </row>
    <row r="56" customFormat="false" ht="15" hidden="false" customHeight="true" outlineLevel="0" collapsed="false">
      <c r="A56" s="13" t="s">
        <v>28</v>
      </c>
      <c r="B56" s="13" t="s">
        <v>29</v>
      </c>
      <c r="C56" s="14" t="n">
        <v>121277</v>
      </c>
      <c r="D56" s="14" t="n">
        <v>127988</v>
      </c>
      <c r="E56" s="15" t="n">
        <f aca="false">D56-C56</f>
        <v>6711</v>
      </c>
      <c r="F56" s="16" t="n">
        <f aca="false">IFERROR(E56/C56,0)</f>
        <v>0.0553361313357026</v>
      </c>
    </row>
    <row r="57" customFormat="false" ht="15" hidden="false" customHeight="true" outlineLevel="0" collapsed="false">
      <c r="A57" s="13" t="s">
        <v>28</v>
      </c>
      <c r="B57" s="13" t="s">
        <v>31</v>
      </c>
      <c r="C57" s="14" t="n">
        <v>37393</v>
      </c>
      <c r="D57" s="14" t="n">
        <v>40058</v>
      </c>
      <c r="E57" s="15" t="n">
        <f aca="false">D57-C57</f>
        <v>2665</v>
      </c>
      <c r="F57" s="16" t="n">
        <f aca="false">IFERROR(E57/C57,0)</f>
        <v>0.0712700238012462</v>
      </c>
    </row>
    <row r="58" customFormat="false" ht="15" hidden="false" customHeight="true" outlineLevel="0" collapsed="false">
      <c r="A58" s="13" t="s">
        <v>28</v>
      </c>
      <c r="B58" s="13" t="s">
        <v>33</v>
      </c>
      <c r="C58" s="14" t="n">
        <v>159710</v>
      </c>
      <c r="D58" s="14" t="n">
        <v>154478</v>
      </c>
      <c r="E58" s="15" t="n">
        <f aca="false">D58-C58</f>
        <v>-5232</v>
      </c>
      <c r="F58" s="16" t="n">
        <f aca="false">IFERROR(E58/C58,0)</f>
        <v>-0.03275937636967</v>
      </c>
    </row>
    <row r="59" customFormat="false" ht="15" hidden="false" customHeight="true" outlineLevel="0" collapsed="false">
      <c r="A59" s="13" t="s">
        <v>28</v>
      </c>
      <c r="B59" s="13" t="s">
        <v>35</v>
      </c>
      <c r="C59" s="14" t="n">
        <v>82067</v>
      </c>
      <c r="D59" s="14" t="n">
        <v>76306</v>
      </c>
      <c r="E59" s="15" t="n">
        <f aca="false">D59-C59</f>
        <v>-5761</v>
      </c>
      <c r="F59" s="16" t="n">
        <f aca="false">IFERROR(E59/C59,0)</f>
        <v>-0.0701987400538584</v>
      </c>
    </row>
    <row r="60" customFormat="false" ht="15" hidden="false" customHeight="true" outlineLevel="0" collapsed="false">
      <c r="A60" s="13" t="s">
        <v>28</v>
      </c>
      <c r="B60" s="13" t="s">
        <v>37</v>
      </c>
      <c r="C60" s="14" t="n">
        <v>1239326</v>
      </c>
      <c r="D60" s="14" t="n">
        <v>1178634</v>
      </c>
      <c r="E60" s="15" t="n">
        <f aca="false">D60-C60</f>
        <v>-60692</v>
      </c>
      <c r="F60" s="16" t="n">
        <f aca="false">IFERROR(E60/C60,0)</f>
        <v>-0.0489717798222582</v>
      </c>
    </row>
    <row r="61" customFormat="false" ht="15" hidden="false" customHeight="true" outlineLevel="0" collapsed="false">
      <c r="A61" s="13" t="s">
        <v>28</v>
      </c>
      <c r="B61" s="13" t="s">
        <v>38</v>
      </c>
      <c r="C61" s="14" t="n">
        <v>770631</v>
      </c>
      <c r="D61" s="14" t="n">
        <v>760519</v>
      </c>
      <c r="E61" s="15" t="n">
        <f aca="false">D61-C61</f>
        <v>-10112</v>
      </c>
      <c r="F61" s="16" t="n">
        <f aca="false">IFERROR(E61/C61,0)</f>
        <v>-0.0131217145430173</v>
      </c>
    </row>
    <row r="62" customFormat="false" ht="15" hidden="false" customHeight="true" outlineLevel="0" collapsed="false">
      <c r="A62" s="13" t="s">
        <v>30</v>
      </c>
      <c r="B62" s="13" t="s">
        <v>16</v>
      </c>
      <c r="C62" s="14" t="n">
        <v>1363</v>
      </c>
      <c r="D62" s="14" t="n">
        <v>1476</v>
      </c>
      <c r="E62" s="15" t="n">
        <f aca="false">D62-C62</f>
        <v>113</v>
      </c>
      <c r="F62" s="16" t="n">
        <f aca="false">IFERROR(E62/C62,0)</f>
        <v>0.0829053558327219</v>
      </c>
    </row>
    <row r="63" customFormat="false" ht="15" hidden="false" customHeight="true" outlineLevel="0" collapsed="false">
      <c r="A63" s="13" t="s">
        <v>30</v>
      </c>
      <c r="B63" s="13" t="s">
        <v>18</v>
      </c>
      <c r="C63" s="14" t="n">
        <v>139699</v>
      </c>
      <c r="D63" s="14" t="n">
        <v>133457</v>
      </c>
      <c r="E63" s="15" t="n">
        <f aca="false">D63-C63</f>
        <v>-6242</v>
      </c>
      <c r="F63" s="16" t="n">
        <f aca="false">IFERROR(E63/C63,0)</f>
        <v>-0.0446817801129571</v>
      </c>
    </row>
    <row r="64" customFormat="false" ht="15" hidden="false" customHeight="true" outlineLevel="0" collapsed="false">
      <c r="A64" s="13" t="s">
        <v>30</v>
      </c>
      <c r="B64" s="13" t="s">
        <v>20</v>
      </c>
      <c r="C64" s="14" t="n">
        <v>105579</v>
      </c>
      <c r="D64" s="14" t="n">
        <v>105526</v>
      </c>
      <c r="E64" s="15" t="n">
        <f aca="false">D64-C64</f>
        <v>-53</v>
      </c>
      <c r="F64" s="16" t="n">
        <f aca="false">IFERROR(E64/C64,0)</f>
        <v>-0.000501993767700016</v>
      </c>
    </row>
    <row r="65" customFormat="false" ht="15" hidden="false" customHeight="true" outlineLevel="0" collapsed="false">
      <c r="A65" s="13" t="s">
        <v>30</v>
      </c>
      <c r="B65" s="13" t="s">
        <v>23</v>
      </c>
      <c r="C65" s="14" t="n">
        <v>49083</v>
      </c>
      <c r="D65" s="14" t="n">
        <v>47323</v>
      </c>
      <c r="E65" s="15" t="n">
        <f aca="false">D65-C65</f>
        <v>-1760</v>
      </c>
      <c r="F65" s="16" t="n">
        <f aca="false">IFERROR(E65/C65,0)</f>
        <v>-0.035857628914288</v>
      </c>
    </row>
    <row r="66" customFormat="false" ht="15" hidden="false" customHeight="true" outlineLevel="0" collapsed="false">
      <c r="A66" s="13" t="s">
        <v>30</v>
      </c>
      <c r="B66" s="13" t="s">
        <v>25</v>
      </c>
      <c r="C66" s="14" t="n">
        <v>24951</v>
      </c>
      <c r="D66" s="14" t="n">
        <v>23984</v>
      </c>
      <c r="E66" s="15" t="n">
        <f aca="false">D66-C66</f>
        <v>-967</v>
      </c>
      <c r="F66" s="16" t="n">
        <f aca="false">IFERROR(E66/C66,0)</f>
        <v>-0.0387559616849024</v>
      </c>
    </row>
    <row r="67" customFormat="false" ht="15" hidden="false" customHeight="true" outlineLevel="0" collapsed="false">
      <c r="A67" s="13" t="s">
        <v>30</v>
      </c>
      <c r="B67" s="13" t="s">
        <v>27</v>
      </c>
      <c r="C67" s="14" t="n">
        <v>80494</v>
      </c>
      <c r="D67" s="14" t="n">
        <v>73783</v>
      </c>
      <c r="E67" s="15" t="n">
        <f aca="false">D67-C67</f>
        <v>-6711</v>
      </c>
      <c r="F67" s="16" t="n">
        <f aca="false">IFERROR(E67/C67,0)</f>
        <v>-0.0833726737396576</v>
      </c>
    </row>
    <row r="68" customFormat="false" ht="15" hidden="false" customHeight="true" outlineLevel="0" collapsed="false">
      <c r="A68" s="13" t="s">
        <v>30</v>
      </c>
      <c r="B68" s="13" t="s">
        <v>29</v>
      </c>
      <c r="C68" s="14" t="n">
        <v>559505</v>
      </c>
      <c r="D68" s="14" t="n">
        <v>570539</v>
      </c>
      <c r="E68" s="15" t="n">
        <f aca="false">D68-C68</f>
        <v>11034</v>
      </c>
      <c r="F68" s="16" t="n">
        <f aca="false">IFERROR(E68/C68,0)</f>
        <v>0.0197210033869224</v>
      </c>
    </row>
    <row r="69" customFormat="false" ht="15" hidden="false" customHeight="true" outlineLevel="0" collapsed="false">
      <c r="A69" s="13" t="s">
        <v>30</v>
      </c>
      <c r="B69" s="13" t="s">
        <v>31</v>
      </c>
      <c r="C69" s="14" t="n">
        <v>76288</v>
      </c>
      <c r="D69" s="14" t="n">
        <v>76324</v>
      </c>
      <c r="E69" s="15" t="n">
        <f aca="false">D69-C69</f>
        <v>36</v>
      </c>
      <c r="F69" s="16" t="n">
        <f aca="false">IFERROR(E69/C69,0)</f>
        <v>0.000471895973154362</v>
      </c>
    </row>
    <row r="70" customFormat="false" ht="15" hidden="false" customHeight="true" outlineLevel="0" collapsed="false">
      <c r="A70" s="13" t="s">
        <v>30</v>
      </c>
      <c r="B70" s="13" t="s">
        <v>33</v>
      </c>
      <c r="C70" s="14" t="n">
        <v>142939</v>
      </c>
      <c r="D70" s="14" t="n">
        <v>131398</v>
      </c>
      <c r="E70" s="15" t="n">
        <f aca="false">D70-C70</f>
        <v>-11541</v>
      </c>
      <c r="F70" s="16" t="n">
        <f aca="false">IFERROR(E70/C70,0)</f>
        <v>-0.080740735558525</v>
      </c>
    </row>
    <row r="71" customFormat="false" ht="15" hidden="false" customHeight="true" outlineLevel="0" collapsed="false">
      <c r="A71" s="13" t="s">
        <v>30</v>
      </c>
      <c r="B71" s="13" t="s">
        <v>35</v>
      </c>
      <c r="C71" s="14" t="n">
        <v>237254</v>
      </c>
      <c r="D71" s="14" t="n">
        <v>227800</v>
      </c>
      <c r="E71" s="15" t="n">
        <f aca="false">D71-C71</f>
        <v>-9454</v>
      </c>
      <c r="F71" s="16" t="n">
        <f aca="false">IFERROR(E71/C71,0)</f>
        <v>-0.0398475895032328</v>
      </c>
    </row>
    <row r="72" customFormat="false" ht="15" hidden="false" customHeight="true" outlineLevel="0" collapsed="false">
      <c r="A72" s="13" t="s">
        <v>30</v>
      </c>
      <c r="B72" s="13" t="s">
        <v>37</v>
      </c>
      <c r="C72" s="14" t="n">
        <v>88324</v>
      </c>
      <c r="D72" s="14" t="n">
        <v>94814</v>
      </c>
      <c r="E72" s="15" t="n">
        <f aca="false">D72-C72</f>
        <v>6490</v>
      </c>
      <c r="F72" s="16" t="n">
        <f aca="false">IFERROR(E72/C72,0)</f>
        <v>0.0734794619808886</v>
      </c>
    </row>
    <row r="73" customFormat="false" ht="15" hidden="false" customHeight="true" outlineLevel="0" collapsed="false">
      <c r="A73" s="13" t="s">
        <v>30</v>
      </c>
      <c r="B73" s="13" t="s">
        <v>38</v>
      </c>
      <c r="C73" s="14" t="n">
        <v>697211</v>
      </c>
      <c r="D73" s="14" t="n">
        <v>664526</v>
      </c>
      <c r="E73" s="15" t="n">
        <f aca="false">D73-C73</f>
        <v>-32685</v>
      </c>
      <c r="F73" s="16" t="n">
        <f aca="false">IFERROR(E73/C73,0)</f>
        <v>-0.046879639018891</v>
      </c>
    </row>
    <row r="74" customFormat="false" ht="15" hidden="false" customHeight="true" outlineLevel="0" collapsed="false">
      <c r="A74" s="13" t="s">
        <v>32</v>
      </c>
      <c r="B74" s="13" t="s">
        <v>16</v>
      </c>
      <c r="C74" s="14" t="n">
        <v>204546</v>
      </c>
      <c r="D74" s="14" t="n">
        <v>215530</v>
      </c>
      <c r="E74" s="15" t="n">
        <f aca="false">D74-C74</f>
        <v>10984</v>
      </c>
      <c r="F74" s="16" t="n">
        <f aca="false">IFERROR(E74/C74,0)</f>
        <v>0.0536994123571226</v>
      </c>
    </row>
    <row r="75" customFormat="false" ht="15" hidden="false" customHeight="true" outlineLevel="0" collapsed="false">
      <c r="A75" s="13" t="s">
        <v>32</v>
      </c>
      <c r="B75" s="13" t="s">
        <v>18</v>
      </c>
      <c r="C75" s="14" t="n">
        <v>160450</v>
      </c>
      <c r="D75" s="14" t="n">
        <v>150362</v>
      </c>
      <c r="E75" s="15" t="n">
        <f aca="false">D75-C75</f>
        <v>-10088</v>
      </c>
      <c r="F75" s="16" t="n">
        <f aca="false">IFERROR(E75/C75,0)</f>
        <v>-0.0628731692115924</v>
      </c>
    </row>
    <row r="76" customFormat="false" ht="15" hidden="false" customHeight="true" outlineLevel="0" collapsed="false">
      <c r="A76" s="13" t="s">
        <v>32</v>
      </c>
      <c r="B76" s="13" t="s">
        <v>20</v>
      </c>
      <c r="C76" s="14" t="n">
        <v>217501</v>
      </c>
      <c r="D76" s="14" t="n">
        <v>217821</v>
      </c>
      <c r="E76" s="15" t="n">
        <f aca="false">D76-C76</f>
        <v>320</v>
      </c>
      <c r="F76" s="16" t="n">
        <f aca="false">IFERROR(E76/C76,0)</f>
        <v>0.00147125760341332</v>
      </c>
    </row>
    <row r="77" customFormat="false" ht="15" hidden="false" customHeight="true" outlineLevel="0" collapsed="false">
      <c r="A77" s="13" t="s">
        <v>32</v>
      </c>
      <c r="B77" s="13" t="s">
        <v>23</v>
      </c>
      <c r="C77" s="14" t="n">
        <v>242694</v>
      </c>
      <c r="D77" s="14" t="n">
        <v>251248</v>
      </c>
      <c r="E77" s="15" t="n">
        <f aca="false">D77-C77</f>
        <v>8554</v>
      </c>
      <c r="F77" s="16" t="n">
        <f aca="false">IFERROR(E77/C77,0)</f>
        <v>0.0352460299801396</v>
      </c>
    </row>
    <row r="78" customFormat="false" ht="15" hidden="false" customHeight="true" outlineLevel="0" collapsed="false">
      <c r="A78" s="13" t="s">
        <v>32</v>
      </c>
      <c r="B78" s="13" t="s">
        <v>25</v>
      </c>
      <c r="C78" s="14" t="n">
        <v>22781</v>
      </c>
      <c r="D78" s="14" t="n">
        <v>24250</v>
      </c>
      <c r="E78" s="15" t="n">
        <f aca="false">D78-C78</f>
        <v>1469</v>
      </c>
      <c r="F78" s="16" t="n">
        <f aca="false">IFERROR(E78/C78,0)</f>
        <v>0.0644835608621219</v>
      </c>
    </row>
    <row r="79" customFormat="false" ht="15" hidden="false" customHeight="true" outlineLevel="0" collapsed="false">
      <c r="A79" s="13" t="s">
        <v>32</v>
      </c>
      <c r="B79" s="13" t="s">
        <v>27</v>
      </c>
      <c r="C79" s="14" t="n">
        <v>124695</v>
      </c>
      <c r="D79" s="14" t="n">
        <v>120788</v>
      </c>
      <c r="E79" s="15" t="n">
        <f aca="false">D79-C79</f>
        <v>-3907</v>
      </c>
      <c r="F79" s="16" t="n">
        <f aca="false">IFERROR(E79/C79,0)</f>
        <v>-0.0313324511808814</v>
      </c>
    </row>
    <row r="80" customFormat="false" ht="15" hidden="false" customHeight="true" outlineLevel="0" collapsed="false">
      <c r="A80" s="13" t="s">
        <v>32</v>
      </c>
      <c r="B80" s="13" t="s">
        <v>29</v>
      </c>
      <c r="C80" s="14" t="n">
        <v>74922</v>
      </c>
      <c r="D80" s="14" t="n">
        <v>71149</v>
      </c>
      <c r="E80" s="15" t="n">
        <f aca="false">D80-C80</f>
        <v>-3773</v>
      </c>
      <c r="F80" s="16" t="n">
        <f aca="false">IFERROR(E80/C80,0)</f>
        <v>-0.0503590400683377</v>
      </c>
    </row>
    <row r="81" customFormat="false" ht="15" hidden="false" customHeight="true" outlineLevel="0" collapsed="false">
      <c r="A81" s="13" t="s">
        <v>32</v>
      </c>
      <c r="B81" s="13" t="s">
        <v>31</v>
      </c>
      <c r="C81" s="14" t="n">
        <v>439148</v>
      </c>
      <c r="D81" s="14" t="n">
        <v>455838</v>
      </c>
      <c r="E81" s="15" t="n">
        <f aca="false">D81-C81</f>
        <v>16690</v>
      </c>
      <c r="F81" s="16" t="n">
        <f aca="false">IFERROR(E81/C81,0)</f>
        <v>0.0380054104766502</v>
      </c>
    </row>
    <row r="82" customFormat="false" ht="15" hidden="false" customHeight="true" outlineLevel="0" collapsed="false">
      <c r="A82" s="13" t="s">
        <v>32</v>
      </c>
      <c r="B82" s="13" t="s">
        <v>33</v>
      </c>
      <c r="C82" s="14" t="n">
        <v>171698</v>
      </c>
      <c r="D82" s="14" t="n">
        <v>181263</v>
      </c>
      <c r="E82" s="15" t="n">
        <f aca="false">D82-C82</f>
        <v>9565</v>
      </c>
      <c r="F82" s="16" t="n">
        <f aca="false">IFERROR(E82/C82,0)</f>
        <v>0.0557082784889748</v>
      </c>
    </row>
    <row r="83" customFormat="false" ht="15" hidden="false" customHeight="true" outlineLevel="0" collapsed="false">
      <c r="A83" s="13" t="s">
        <v>32</v>
      </c>
      <c r="B83" s="13" t="s">
        <v>35</v>
      </c>
      <c r="C83" s="14" t="n">
        <v>1107759</v>
      </c>
      <c r="D83" s="14" t="n">
        <v>1077583</v>
      </c>
      <c r="E83" s="15" t="n">
        <f aca="false">D83-C83</f>
        <v>-30176</v>
      </c>
      <c r="F83" s="16" t="n">
        <f aca="false">IFERROR(E83/C83,0)</f>
        <v>-0.0272405821121742</v>
      </c>
    </row>
    <row r="84" customFormat="false" ht="15" hidden="false" customHeight="true" outlineLevel="0" collapsed="false">
      <c r="A84" s="13" t="s">
        <v>32</v>
      </c>
      <c r="B84" s="13" t="s">
        <v>37</v>
      </c>
      <c r="C84" s="14" t="n">
        <v>137497</v>
      </c>
      <c r="D84" s="14" t="n">
        <v>127502</v>
      </c>
      <c r="E84" s="15" t="n">
        <f aca="false">D84-C84</f>
        <v>-9995</v>
      </c>
      <c r="F84" s="16" t="n">
        <f aca="false">IFERROR(E84/C84,0)</f>
        <v>-0.0726924951089842</v>
      </c>
    </row>
    <row r="85" customFormat="false" ht="15" hidden="false" customHeight="true" outlineLevel="0" collapsed="false">
      <c r="A85" s="13" t="s">
        <v>32</v>
      </c>
      <c r="B85" s="13" t="s">
        <v>38</v>
      </c>
      <c r="C85" s="14" t="n">
        <v>458038</v>
      </c>
      <c r="D85" s="14" t="n">
        <v>494357</v>
      </c>
      <c r="E85" s="15" t="n">
        <f aca="false">D85-C85</f>
        <v>36319</v>
      </c>
      <c r="F85" s="16" t="n">
        <f aca="false">IFERROR(E85/C85,0)</f>
        <v>0.0792925477798785</v>
      </c>
    </row>
    <row r="86" customFormat="false" ht="15" hidden="false" customHeight="true" outlineLevel="0" collapsed="false">
      <c r="A86" s="13" t="s">
        <v>34</v>
      </c>
      <c r="B86" s="13" t="s">
        <v>16</v>
      </c>
      <c r="C86" s="14" t="n">
        <v>107335</v>
      </c>
      <c r="D86" s="14" t="n">
        <v>116922</v>
      </c>
      <c r="E86" s="15" t="n">
        <f aca="false">D86-C86</f>
        <v>9587</v>
      </c>
      <c r="F86" s="16" t="n">
        <f aca="false">IFERROR(E86/C86,0)</f>
        <v>0.0893184888433409</v>
      </c>
    </row>
    <row r="87" customFormat="false" ht="15" hidden="false" customHeight="true" outlineLevel="0" collapsed="false">
      <c r="A87" s="13" t="s">
        <v>34</v>
      </c>
      <c r="B87" s="13" t="s">
        <v>18</v>
      </c>
      <c r="C87" s="14" t="n">
        <v>267622</v>
      </c>
      <c r="D87" s="14" t="n">
        <v>290042</v>
      </c>
      <c r="E87" s="15" t="n">
        <f aca="false">D87-C87</f>
        <v>22420</v>
      </c>
      <c r="F87" s="16" t="n">
        <f aca="false">IFERROR(E87/C87,0)</f>
        <v>0.0837748765049211</v>
      </c>
    </row>
    <row r="88" customFormat="false" ht="15" hidden="false" customHeight="true" outlineLevel="0" collapsed="false">
      <c r="A88" s="13" t="s">
        <v>34</v>
      </c>
      <c r="B88" s="13" t="s">
        <v>20</v>
      </c>
      <c r="C88" s="14" t="n">
        <v>165729</v>
      </c>
      <c r="D88" s="14" t="n">
        <v>167467</v>
      </c>
      <c r="E88" s="15" t="n">
        <f aca="false">D88-C88</f>
        <v>1738</v>
      </c>
      <c r="F88" s="16" t="n">
        <f aca="false">IFERROR(E88/C88,0)</f>
        <v>0.0104869998612192</v>
      </c>
    </row>
    <row r="89" customFormat="false" ht="15" hidden="false" customHeight="true" outlineLevel="0" collapsed="false">
      <c r="A89" s="13" t="s">
        <v>34</v>
      </c>
      <c r="B89" s="13" t="s">
        <v>23</v>
      </c>
      <c r="C89" s="14" t="n">
        <v>195575</v>
      </c>
      <c r="D89" s="14" t="n">
        <v>209045</v>
      </c>
      <c r="E89" s="15" t="n">
        <f aca="false">D89-C89</f>
        <v>13470</v>
      </c>
      <c r="F89" s="16" t="n">
        <f aca="false">IFERROR(E89/C89,0)</f>
        <v>0.068873833567685</v>
      </c>
    </row>
    <row r="90" customFormat="false" ht="15" hidden="false" customHeight="true" outlineLevel="0" collapsed="false">
      <c r="A90" s="13" t="s">
        <v>34</v>
      </c>
      <c r="B90" s="13" t="s">
        <v>25</v>
      </c>
      <c r="C90" s="14" t="n">
        <v>34520</v>
      </c>
      <c r="D90" s="14" t="n">
        <v>32585</v>
      </c>
      <c r="E90" s="15" t="n">
        <f aca="false">D90-C90</f>
        <v>-1935</v>
      </c>
      <c r="F90" s="16" t="n">
        <f aca="false">IFERROR(E90/C90,0)</f>
        <v>-0.0560544611819235</v>
      </c>
    </row>
    <row r="91" customFormat="false" ht="15" hidden="false" customHeight="true" outlineLevel="0" collapsed="false">
      <c r="A91" s="13" t="s">
        <v>34</v>
      </c>
      <c r="B91" s="13" t="s">
        <v>27</v>
      </c>
      <c r="C91" s="14" t="n">
        <v>114751</v>
      </c>
      <c r="D91" s="14" t="n">
        <v>110183</v>
      </c>
      <c r="E91" s="15" t="n">
        <f aca="false">D91-C91</f>
        <v>-4568</v>
      </c>
      <c r="F91" s="16" t="n">
        <f aca="false">IFERROR(E91/C91,0)</f>
        <v>-0.03980793195702</v>
      </c>
    </row>
    <row r="92" customFormat="false" ht="15" hidden="false" customHeight="true" outlineLevel="0" collapsed="false">
      <c r="A92" s="13" t="s">
        <v>34</v>
      </c>
      <c r="B92" s="13" t="s">
        <v>29</v>
      </c>
      <c r="C92" s="14" t="n">
        <v>175143</v>
      </c>
      <c r="D92" s="14" t="n">
        <v>181459</v>
      </c>
      <c r="E92" s="15" t="n">
        <f aca="false">D92-C92</f>
        <v>6316</v>
      </c>
      <c r="F92" s="16" t="n">
        <f aca="false">IFERROR(E92/C92,0)</f>
        <v>0.0360619607977481</v>
      </c>
    </row>
    <row r="93" customFormat="false" ht="15" hidden="false" customHeight="true" outlineLevel="0" collapsed="false">
      <c r="A93" s="13" t="s">
        <v>34</v>
      </c>
      <c r="B93" s="13" t="s">
        <v>31</v>
      </c>
      <c r="C93" s="14" t="n">
        <v>38190</v>
      </c>
      <c r="D93" s="14" t="n">
        <v>40573</v>
      </c>
      <c r="E93" s="15" t="n">
        <f aca="false">D93-C93</f>
        <v>2383</v>
      </c>
      <c r="F93" s="16" t="n">
        <f aca="false">IFERROR(E93/C93,0)</f>
        <v>0.0623985336475517</v>
      </c>
    </row>
    <row r="94" customFormat="false" ht="15" hidden="false" customHeight="true" outlineLevel="0" collapsed="false">
      <c r="A94" s="13" t="s">
        <v>34</v>
      </c>
      <c r="B94" s="13" t="s">
        <v>33</v>
      </c>
      <c r="C94" s="14" t="n">
        <v>28305</v>
      </c>
      <c r="D94" s="14" t="n">
        <v>30120</v>
      </c>
      <c r="E94" s="15" t="n">
        <f aca="false">D94-C94</f>
        <v>1815</v>
      </c>
      <c r="F94" s="16" t="n">
        <f aca="false">IFERROR(E94/C94,0)</f>
        <v>0.0641229464758877</v>
      </c>
    </row>
    <row r="95" customFormat="false" ht="15" hidden="false" customHeight="true" outlineLevel="0" collapsed="false">
      <c r="A95" s="13" t="s">
        <v>34</v>
      </c>
      <c r="B95" s="13" t="s">
        <v>35</v>
      </c>
      <c r="C95" s="14" t="n">
        <v>592649</v>
      </c>
      <c r="D95" s="14" t="n">
        <v>582462</v>
      </c>
      <c r="E95" s="15" t="n">
        <f aca="false">D95-C95</f>
        <v>-10187</v>
      </c>
      <c r="F95" s="16" t="n">
        <f aca="false">IFERROR(E95/C95,0)</f>
        <v>-0.0171889263290751</v>
      </c>
    </row>
    <row r="96" customFormat="false" ht="15" hidden="false" customHeight="true" outlineLevel="0" collapsed="false">
      <c r="A96" s="13" t="s">
        <v>34</v>
      </c>
      <c r="B96" s="13" t="s">
        <v>37</v>
      </c>
      <c r="C96" s="14" t="n">
        <v>106995</v>
      </c>
      <c r="D96" s="14" t="n">
        <v>114463</v>
      </c>
      <c r="E96" s="15" t="n">
        <f aca="false">D96-C96</f>
        <v>7468</v>
      </c>
      <c r="F96" s="16" t="n">
        <f aca="false">IFERROR(E96/C96,0)</f>
        <v>0.0697976540959858</v>
      </c>
    </row>
    <row r="97" customFormat="false" ht="15" hidden="false" customHeight="true" outlineLevel="0" collapsed="false">
      <c r="A97" s="13" t="s">
        <v>34</v>
      </c>
      <c r="B97" s="13" t="s">
        <v>38</v>
      </c>
      <c r="C97" s="14" t="n">
        <v>44481</v>
      </c>
      <c r="D97" s="14" t="n">
        <v>47290</v>
      </c>
      <c r="E97" s="15" t="n">
        <f aca="false">D97-C97</f>
        <v>2809</v>
      </c>
      <c r="F97" s="16" t="n">
        <f aca="false">IFERROR(E97/C97,0)</f>
        <v>0.0631505586654976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1" width="22"/>
    <col collapsed="false" customWidth="true" hidden="false" outlineLevel="0" max="4" min="2" style="11" width="13"/>
    <col collapsed="false" customWidth="true" hidden="false" outlineLevel="0" max="5" min="5" style="11" width="9"/>
    <col collapsed="false" customWidth="true" hidden="false" outlineLevel="0" max="8" min="6" style="11" width="13"/>
    <col collapsed="false" customWidth="true" hidden="false" outlineLevel="0" max="9" min="9" style="11" width="9"/>
    <col collapsed="false" customWidth="true" hidden="false" outlineLevel="0" max="12" min="10" style="11" width="13"/>
    <col collapsed="false" customWidth="true" hidden="false" outlineLevel="0" max="13" min="13" style="11" width="9"/>
    <col collapsed="false" customWidth="true" hidden="false" outlineLevel="0" max="16" min="14" style="11" width="13"/>
    <col collapsed="false" customWidth="true" hidden="false" outlineLevel="0" max="17" min="17" style="11" width="9"/>
    <col collapsed="false" customWidth="true" hidden="false" outlineLevel="0" max="20" min="18" style="11" width="13"/>
    <col collapsed="false" customWidth="true" hidden="false" outlineLevel="0" max="21" min="21" style="11" width="9"/>
    <col collapsed="false" customWidth="true" hidden="false" outlineLevel="0" max="24" min="22" style="11" width="13"/>
    <col collapsed="false" customWidth="true" hidden="false" outlineLevel="0" max="25" min="25" style="11" width="9"/>
    <col collapsed="false" customWidth="true" hidden="false" outlineLevel="0" max="28" min="26" style="11" width="13"/>
    <col collapsed="false" customWidth="true" hidden="false" outlineLevel="0" max="29" min="29" style="11" width="9"/>
    <col collapsed="false" customWidth="true" hidden="false" outlineLevel="0" max="32" min="30" style="11" width="13"/>
    <col collapsed="false" customWidth="true" hidden="false" outlineLevel="0" max="33" min="33" style="11" width="9"/>
    <col collapsed="false" customWidth="true" hidden="false" outlineLevel="0" max="36" min="34" style="11" width="13"/>
    <col collapsed="false" customWidth="true" hidden="false" outlineLevel="0" max="37" min="37" style="11" width="9"/>
    <col collapsed="false" customWidth="true" hidden="false" outlineLevel="0" max="40" min="38" style="11" width="13"/>
    <col collapsed="false" customWidth="true" hidden="false" outlineLevel="0" max="41" min="41" style="11" width="9"/>
    <col collapsed="false" customWidth="true" hidden="false" outlineLevel="0" max="44" min="42" style="11" width="13"/>
    <col collapsed="false" customWidth="true" hidden="false" outlineLevel="0" max="45" min="45" style="11" width="9"/>
    <col collapsed="false" customWidth="true" hidden="false" outlineLevel="0" max="48" min="46" style="11" width="13"/>
    <col collapsed="false" customWidth="true" hidden="false" outlineLevel="0" max="49" min="49" style="11" width="9"/>
  </cols>
  <sheetData>
    <row r="1" customFormat="false" ht="17.25" hidden="false" customHeight="true" outlineLevel="0" collapsed="false">
      <c r="A1" s="17" t="s">
        <v>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customFormat="false" ht="15" hidden="false" customHeight="true" outlineLevel="0" collapsed="false">
      <c r="A3" s="12" t="s">
        <v>42</v>
      </c>
      <c r="B3" s="18" t="s">
        <v>16</v>
      </c>
      <c r="C3" s="18"/>
      <c r="D3" s="18"/>
      <c r="E3" s="18"/>
      <c r="F3" s="18" t="s">
        <v>18</v>
      </c>
      <c r="G3" s="18"/>
      <c r="H3" s="18"/>
      <c r="I3" s="18"/>
      <c r="J3" s="18" t="s">
        <v>20</v>
      </c>
      <c r="K3" s="18"/>
      <c r="L3" s="18"/>
      <c r="M3" s="18"/>
      <c r="N3" s="18" t="s">
        <v>23</v>
      </c>
      <c r="O3" s="18"/>
      <c r="P3" s="18"/>
      <c r="Q3" s="18"/>
      <c r="R3" s="18" t="s">
        <v>25</v>
      </c>
      <c r="S3" s="18"/>
      <c r="T3" s="18"/>
      <c r="U3" s="18"/>
      <c r="V3" s="18" t="s">
        <v>27</v>
      </c>
      <c r="W3" s="18"/>
      <c r="X3" s="18"/>
      <c r="Y3" s="18"/>
      <c r="Z3" s="18" t="s">
        <v>29</v>
      </c>
      <c r="AA3" s="18"/>
      <c r="AB3" s="18"/>
      <c r="AC3" s="18"/>
      <c r="AD3" s="18" t="s">
        <v>31</v>
      </c>
      <c r="AE3" s="18"/>
      <c r="AF3" s="18"/>
      <c r="AG3" s="18"/>
      <c r="AH3" s="18" t="s">
        <v>33</v>
      </c>
      <c r="AI3" s="18"/>
      <c r="AJ3" s="18"/>
      <c r="AK3" s="18"/>
      <c r="AL3" s="18" t="s">
        <v>35</v>
      </c>
      <c r="AM3" s="18"/>
      <c r="AN3" s="18"/>
      <c r="AO3" s="18"/>
      <c r="AP3" s="18" t="s">
        <v>37</v>
      </c>
      <c r="AQ3" s="18"/>
      <c r="AR3" s="18"/>
      <c r="AS3" s="18"/>
      <c r="AT3" s="18" t="s">
        <v>38</v>
      </c>
      <c r="AU3" s="18"/>
      <c r="AV3" s="18"/>
      <c r="AW3" s="18"/>
    </row>
    <row r="4" customFormat="false" ht="15" hidden="false" customHeight="true" outlineLevel="0" collapsed="false">
      <c r="A4" s="12"/>
      <c r="B4" s="19" t="s">
        <v>3</v>
      </c>
      <c r="C4" s="19" t="s">
        <v>4</v>
      </c>
      <c r="D4" s="19" t="s">
        <v>11</v>
      </c>
      <c r="E4" s="19" t="s">
        <v>43</v>
      </c>
      <c r="F4" s="19" t="s">
        <v>3</v>
      </c>
      <c r="G4" s="19" t="s">
        <v>4</v>
      </c>
      <c r="H4" s="19" t="s">
        <v>11</v>
      </c>
      <c r="I4" s="19" t="s">
        <v>43</v>
      </c>
      <c r="J4" s="19" t="s">
        <v>3</v>
      </c>
      <c r="K4" s="19" t="s">
        <v>4</v>
      </c>
      <c r="L4" s="19" t="s">
        <v>11</v>
      </c>
      <c r="M4" s="19" t="s">
        <v>43</v>
      </c>
      <c r="N4" s="19" t="s">
        <v>3</v>
      </c>
      <c r="O4" s="19" t="s">
        <v>4</v>
      </c>
      <c r="P4" s="19" t="s">
        <v>11</v>
      </c>
      <c r="Q4" s="19" t="s">
        <v>43</v>
      </c>
      <c r="R4" s="19" t="s">
        <v>3</v>
      </c>
      <c r="S4" s="19" t="s">
        <v>4</v>
      </c>
      <c r="T4" s="19" t="s">
        <v>11</v>
      </c>
      <c r="U4" s="19" t="s">
        <v>43</v>
      </c>
      <c r="V4" s="19" t="s">
        <v>3</v>
      </c>
      <c r="W4" s="19" t="s">
        <v>4</v>
      </c>
      <c r="X4" s="19" t="s">
        <v>11</v>
      </c>
      <c r="Y4" s="19" t="s">
        <v>43</v>
      </c>
      <c r="Z4" s="19" t="s">
        <v>3</v>
      </c>
      <c r="AA4" s="19" t="s">
        <v>4</v>
      </c>
      <c r="AB4" s="19" t="s">
        <v>11</v>
      </c>
      <c r="AC4" s="19" t="s">
        <v>43</v>
      </c>
      <c r="AD4" s="19" t="s">
        <v>3</v>
      </c>
      <c r="AE4" s="19" t="s">
        <v>4</v>
      </c>
      <c r="AF4" s="19" t="s">
        <v>11</v>
      </c>
      <c r="AG4" s="19" t="s">
        <v>43</v>
      </c>
      <c r="AH4" s="19" t="s">
        <v>3</v>
      </c>
      <c r="AI4" s="19" t="s">
        <v>4</v>
      </c>
      <c r="AJ4" s="19" t="s">
        <v>11</v>
      </c>
      <c r="AK4" s="19" t="s">
        <v>43</v>
      </c>
      <c r="AL4" s="19" t="s">
        <v>3</v>
      </c>
      <c r="AM4" s="19" t="s">
        <v>4</v>
      </c>
      <c r="AN4" s="19" t="s">
        <v>11</v>
      </c>
      <c r="AO4" s="19" t="s">
        <v>43</v>
      </c>
      <c r="AP4" s="19" t="s">
        <v>3</v>
      </c>
      <c r="AQ4" s="19" t="s">
        <v>4</v>
      </c>
      <c r="AR4" s="19" t="s">
        <v>11</v>
      </c>
      <c r="AS4" s="19" t="s">
        <v>43</v>
      </c>
      <c r="AT4" s="19" t="s">
        <v>3</v>
      </c>
      <c r="AU4" s="19" t="s">
        <v>4</v>
      </c>
      <c r="AV4" s="19" t="s">
        <v>11</v>
      </c>
      <c r="AW4" s="19" t="s">
        <v>43</v>
      </c>
    </row>
    <row r="5" customFormat="false" ht="15" hidden="false" customHeight="true" outlineLevel="0" collapsed="false">
      <c r="A5" s="20" t="s">
        <v>5</v>
      </c>
      <c r="B5" s="21"/>
      <c r="C5" s="21"/>
      <c r="D5" s="21"/>
      <c r="E5" s="22"/>
      <c r="F5" s="21"/>
      <c r="G5" s="21"/>
      <c r="H5" s="21"/>
      <c r="I5" s="22"/>
      <c r="J5" s="21"/>
      <c r="K5" s="21"/>
      <c r="L5" s="21"/>
      <c r="M5" s="22"/>
      <c r="N5" s="21"/>
      <c r="O5" s="21"/>
      <c r="P5" s="21"/>
      <c r="Q5" s="22"/>
      <c r="R5" s="21"/>
      <c r="S5" s="21"/>
      <c r="T5" s="21"/>
      <c r="U5" s="22"/>
      <c r="V5" s="21"/>
      <c r="W5" s="21"/>
      <c r="X5" s="21"/>
      <c r="Y5" s="22"/>
      <c r="Z5" s="21"/>
      <c r="AA5" s="21"/>
      <c r="AB5" s="21"/>
      <c r="AC5" s="22"/>
      <c r="AD5" s="21"/>
      <c r="AE5" s="21"/>
      <c r="AF5" s="21"/>
      <c r="AG5" s="22"/>
      <c r="AH5" s="21"/>
      <c r="AI5" s="21"/>
      <c r="AJ5" s="21"/>
      <c r="AK5" s="22"/>
      <c r="AL5" s="21"/>
      <c r="AM5" s="21"/>
      <c r="AN5" s="21"/>
      <c r="AO5" s="22"/>
      <c r="AP5" s="21"/>
      <c r="AQ5" s="21"/>
      <c r="AR5" s="21"/>
      <c r="AS5" s="22"/>
      <c r="AT5" s="21"/>
      <c r="AU5" s="21"/>
      <c r="AV5" s="21"/>
      <c r="AW5" s="22"/>
    </row>
    <row r="6" customFormat="false" ht="15" hidden="false" customHeight="true" outlineLevel="0" collapsed="false">
      <c r="A6" s="23" t="s">
        <v>44</v>
      </c>
      <c r="B6" s="24" t="n">
        <v>284101</v>
      </c>
      <c r="C6" s="24" t="n">
        <v>267910</v>
      </c>
      <c r="D6" s="15" t="n">
        <f aca="false">C6-B6</f>
        <v>-16191</v>
      </c>
      <c r="E6" s="16" t="n">
        <f aca="false">IFERROR(D6/B6,0)</f>
        <v>-0.0569902957046966</v>
      </c>
      <c r="F6" s="24" t="n">
        <v>52786</v>
      </c>
      <c r="G6" s="24" t="n">
        <v>50926</v>
      </c>
      <c r="H6" s="15" t="n">
        <f aca="false">G6-F6</f>
        <v>-1860</v>
      </c>
      <c r="I6" s="16" t="n">
        <f aca="false">IFERROR(H6/F6,0)</f>
        <v>-0.0352366157693328</v>
      </c>
      <c r="J6" s="24" t="n">
        <v>52777</v>
      </c>
      <c r="K6" s="24" t="n">
        <v>53012</v>
      </c>
      <c r="L6" s="15" t="n">
        <f aca="false">K6-J6</f>
        <v>235</v>
      </c>
      <c r="M6" s="16" t="n">
        <f aca="false">IFERROR(L6/J6,0)</f>
        <v>0.00445269719764291</v>
      </c>
      <c r="N6" s="24" t="n">
        <v>18621</v>
      </c>
      <c r="O6" s="24" t="n">
        <v>18392</v>
      </c>
      <c r="P6" s="15" t="n">
        <f aca="false">O6-N6</f>
        <v>-229</v>
      </c>
      <c r="Q6" s="16" t="n">
        <f aca="false">IFERROR(P6/N6,0)</f>
        <v>-0.0122979431824284</v>
      </c>
      <c r="R6" s="24" t="n">
        <v>625881</v>
      </c>
      <c r="S6" s="24" t="n">
        <v>602361</v>
      </c>
      <c r="T6" s="15" t="n">
        <f aca="false">S6-R6</f>
        <v>-23520</v>
      </c>
      <c r="U6" s="16" t="n">
        <f aca="false">IFERROR(T6/R6,0)</f>
        <v>-0.0375790286012836</v>
      </c>
      <c r="V6" s="24" t="n">
        <v>286012</v>
      </c>
      <c r="W6" s="24" t="n">
        <v>291770</v>
      </c>
      <c r="X6" s="15" t="n">
        <f aca="false">W6-V6</f>
        <v>5758</v>
      </c>
      <c r="Y6" s="16" t="n">
        <f aca="false">IFERROR(X6/V6,0)</f>
        <v>0.0201320224326252</v>
      </c>
      <c r="Z6" s="24" t="n">
        <v>383156</v>
      </c>
      <c r="AA6" s="24" t="n">
        <v>358292</v>
      </c>
      <c r="AB6" s="15" t="n">
        <f aca="false">AA6-Z6</f>
        <v>-24864</v>
      </c>
      <c r="AC6" s="16" t="n">
        <f aca="false">IFERROR(AB6/Z6,0)</f>
        <v>-0.0648926285899216</v>
      </c>
      <c r="AD6" s="24" t="n">
        <v>6473</v>
      </c>
      <c r="AE6" s="24" t="n">
        <v>6230</v>
      </c>
      <c r="AF6" s="15" t="n">
        <f aca="false">AE6-AD6</f>
        <v>-243</v>
      </c>
      <c r="AG6" s="16" t="n">
        <f aca="false">IFERROR(AF6/AD6,0)</f>
        <v>-0.0375405530665843</v>
      </c>
      <c r="AH6" s="24" t="n">
        <v>1090283</v>
      </c>
      <c r="AI6" s="24" t="n">
        <v>1064056</v>
      </c>
      <c r="AJ6" s="15" t="n">
        <f aca="false">AI6-AH6</f>
        <v>-26227</v>
      </c>
      <c r="AK6" s="16" t="n">
        <f aca="false">IFERROR(AJ6/AH6,0)</f>
        <v>-0.0240552223596993</v>
      </c>
      <c r="AL6" s="24" t="n">
        <v>555924</v>
      </c>
      <c r="AM6" s="24" t="n">
        <v>551528</v>
      </c>
      <c r="AN6" s="15" t="n">
        <f aca="false">AM6-AL6</f>
        <v>-4396</v>
      </c>
      <c r="AO6" s="16" t="n">
        <f aca="false">IFERROR(AN6/AL6,0)</f>
        <v>-0.00790755570905376</v>
      </c>
      <c r="AP6" s="24" t="n">
        <v>74278</v>
      </c>
      <c r="AQ6" s="24" t="n">
        <v>78090</v>
      </c>
      <c r="AR6" s="15" t="n">
        <f aca="false">AQ6-AP6</f>
        <v>3812</v>
      </c>
      <c r="AS6" s="16" t="n">
        <f aca="false">IFERROR(AR6/AP6,0)</f>
        <v>0.0513207140741539</v>
      </c>
      <c r="AT6" s="24" t="n">
        <v>62450</v>
      </c>
      <c r="AU6" s="24" t="n">
        <v>59074</v>
      </c>
      <c r="AV6" s="15" t="n">
        <f aca="false">AU6-AT6</f>
        <v>-3376</v>
      </c>
      <c r="AW6" s="16" t="n">
        <f aca="false">IFERROR(AV6/AT6,0)</f>
        <v>-0.0540592473979183</v>
      </c>
    </row>
    <row r="7" customFormat="false" ht="15" hidden="false" customHeight="true" outlineLevel="0" collapsed="false">
      <c r="A7" s="20" t="s">
        <v>45</v>
      </c>
      <c r="B7" s="21"/>
      <c r="C7" s="21"/>
      <c r="D7" s="21"/>
      <c r="E7" s="22"/>
      <c r="F7" s="21"/>
      <c r="G7" s="21"/>
      <c r="H7" s="21"/>
      <c r="I7" s="22"/>
      <c r="J7" s="21"/>
      <c r="K7" s="21"/>
      <c r="L7" s="21"/>
      <c r="M7" s="22"/>
      <c r="N7" s="21"/>
      <c r="O7" s="21"/>
      <c r="P7" s="21"/>
      <c r="Q7" s="22"/>
      <c r="R7" s="21"/>
      <c r="S7" s="21"/>
      <c r="T7" s="21"/>
      <c r="U7" s="22"/>
      <c r="V7" s="21"/>
      <c r="W7" s="21"/>
      <c r="X7" s="21"/>
      <c r="Y7" s="22"/>
      <c r="Z7" s="21"/>
      <c r="AA7" s="21"/>
      <c r="AB7" s="21"/>
      <c r="AC7" s="22"/>
      <c r="AD7" s="21"/>
      <c r="AE7" s="21"/>
      <c r="AF7" s="21"/>
      <c r="AG7" s="22"/>
      <c r="AH7" s="21"/>
      <c r="AI7" s="21"/>
      <c r="AJ7" s="21"/>
      <c r="AK7" s="22"/>
      <c r="AL7" s="21"/>
      <c r="AM7" s="21"/>
      <c r="AN7" s="21"/>
      <c r="AO7" s="22"/>
      <c r="AP7" s="21"/>
      <c r="AQ7" s="21"/>
      <c r="AR7" s="21"/>
      <c r="AS7" s="22"/>
      <c r="AT7" s="21"/>
      <c r="AU7" s="21"/>
      <c r="AV7" s="21"/>
      <c r="AW7" s="22"/>
    </row>
    <row r="8" customFormat="false" ht="15" hidden="false" customHeight="true" outlineLevel="0" collapsed="false">
      <c r="A8" s="23" t="s">
        <v>46</v>
      </c>
      <c r="B8" s="24" t="n">
        <v>1310207</v>
      </c>
      <c r="C8" s="24" t="n">
        <v>1353427</v>
      </c>
      <c r="D8" s="15" t="n">
        <f aca="false">C8-B8</f>
        <v>43220</v>
      </c>
      <c r="E8" s="16" t="n">
        <f aca="false">IFERROR(D8/B8,0)</f>
        <v>0.0329871539382708</v>
      </c>
      <c r="F8" s="24" t="n">
        <v>201517</v>
      </c>
      <c r="G8" s="24" t="n">
        <v>205506</v>
      </c>
      <c r="H8" s="15" t="n">
        <f aca="false">G8-F8</f>
        <v>3989</v>
      </c>
      <c r="I8" s="16" t="n">
        <f aca="false">IFERROR(H8/F8,0)</f>
        <v>0.0197948560171102</v>
      </c>
      <c r="J8" s="24" t="n">
        <v>629971</v>
      </c>
      <c r="K8" s="24" t="n">
        <v>667753</v>
      </c>
      <c r="L8" s="15" t="n">
        <f aca="false">K8-J8</f>
        <v>37782</v>
      </c>
      <c r="M8" s="16" t="n">
        <f aca="false">IFERROR(L8/J8,0)</f>
        <v>0.0599741892880783</v>
      </c>
      <c r="N8" s="24" t="n">
        <v>365478</v>
      </c>
      <c r="O8" s="24" t="n">
        <v>343989</v>
      </c>
      <c r="P8" s="15" t="n">
        <f aca="false">O8-N8</f>
        <v>-21489</v>
      </c>
      <c r="Q8" s="16" t="n">
        <f aca="false">IFERROR(P8/N8,0)</f>
        <v>-0.0587969727316008</v>
      </c>
      <c r="R8" s="24" t="n">
        <v>191888</v>
      </c>
      <c r="S8" s="24" t="n">
        <v>188125</v>
      </c>
      <c r="T8" s="15" t="n">
        <f aca="false">S8-R8</f>
        <v>-3763</v>
      </c>
      <c r="U8" s="16" t="n">
        <f aca="false">IFERROR(T8/R8,0)</f>
        <v>-0.0196103977320103</v>
      </c>
      <c r="V8" s="24" t="n">
        <v>4280</v>
      </c>
      <c r="W8" s="24" t="n">
        <v>4035</v>
      </c>
      <c r="X8" s="15" t="n">
        <f aca="false">W8-V8</f>
        <v>-245</v>
      </c>
      <c r="Y8" s="16" t="n">
        <f aca="false">IFERROR(X8/V8,0)</f>
        <v>-0.0572429906542056</v>
      </c>
      <c r="Z8" s="24" t="n">
        <v>913634</v>
      </c>
      <c r="AA8" s="24" t="n">
        <v>955629</v>
      </c>
      <c r="AB8" s="15" t="n">
        <f aca="false">AA8-Z8</f>
        <v>41995</v>
      </c>
      <c r="AC8" s="16" t="n">
        <f aca="false">IFERROR(AB8/Z8,0)</f>
        <v>0.0459647955308143</v>
      </c>
      <c r="AD8" s="24" t="n">
        <v>265515</v>
      </c>
      <c r="AE8" s="24" t="n">
        <v>261937</v>
      </c>
      <c r="AF8" s="15" t="n">
        <f aca="false">AE8-AD8</f>
        <v>-3578</v>
      </c>
      <c r="AG8" s="16" t="n">
        <f aca="false">IFERROR(AF8/AD8,0)</f>
        <v>-0.0134756981714781</v>
      </c>
      <c r="AH8" s="24" t="n">
        <v>156015</v>
      </c>
      <c r="AI8" s="24" t="n">
        <v>147813</v>
      </c>
      <c r="AJ8" s="15" t="n">
        <f aca="false">AI8-AH8</f>
        <v>-8202</v>
      </c>
      <c r="AK8" s="16" t="n">
        <f aca="false">IFERROR(AJ8/AH8,0)</f>
        <v>-0.0525718680896068</v>
      </c>
      <c r="AL8" s="24" t="n">
        <v>5158</v>
      </c>
      <c r="AM8" s="24" t="n">
        <v>5220</v>
      </c>
      <c r="AN8" s="15" t="n">
        <f aca="false">AM8-AL8</f>
        <v>62</v>
      </c>
      <c r="AO8" s="16" t="n">
        <f aca="false">IFERROR(AN8/AL8,0)</f>
        <v>0.0120201628538193</v>
      </c>
      <c r="AP8" s="24" t="n">
        <v>84135</v>
      </c>
      <c r="AQ8" s="24" t="n">
        <v>77037</v>
      </c>
      <c r="AR8" s="15" t="n">
        <f aca="false">AQ8-AP8</f>
        <v>-7098</v>
      </c>
      <c r="AS8" s="16" t="n">
        <f aca="false">IFERROR(AR8/AP8,0)</f>
        <v>-0.0843644143341059</v>
      </c>
      <c r="AT8" s="24" t="n">
        <v>88385</v>
      </c>
      <c r="AU8" s="24" t="n">
        <v>93830</v>
      </c>
      <c r="AV8" s="15" t="n">
        <f aca="false">AU8-AT8</f>
        <v>5445</v>
      </c>
      <c r="AW8" s="16" t="n">
        <f aca="false">IFERROR(AV8/AT8,0)</f>
        <v>0.0616054760423149</v>
      </c>
    </row>
    <row r="9" customFormat="false" ht="15" hidden="false" customHeight="true" outlineLevel="0" collapsed="false">
      <c r="A9" s="23" t="s">
        <v>47</v>
      </c>
      <c r="B9" s="24" t="n">
        <v>936211</v>
      </c>
      <c r="C9" s="24" t="n">
        <v>899294</v>
      </c>
      <c r="D9" s="15" t="n">
        <f aca="false">C9-B9</f>
        <v>-36917</v>
      </c>
      <c r="E9" s="16" t="n">
        <f aca="false">IFERROR(D9/B9,0)</f>
        <v>-0.0394323501860158</v>
      </c>
      <c r="F9" s="24" t="n">
        <v>751664</v>
      </c>
      <c r="G9" s="24" t="n">
        <v>757440</v>
      </c>
      <c r="H9" s="15" t="n">
        <f aca="false">G9-F9</f>
        <v>5776</v>
      </c>
      <c r="I9" s="16" t="n">
        <f aca="false">IFERROR(H9/F9,0)</f>
        <v>0.00768428446752804</v>
      </c>
      <c r="J9" s="24" t="n">
        <v>304068</v>
      </c>
      <c r="K9" s="24" t="n">
        <v>284414</v>
      </c>
      <c r="L9" s="15" t="n">
        <f aca="false">K9-J9</f>
        <v>-19654</v>
      </c>
      <c r="M9" s="16" t="n">
        <f aca="false">IFERROR(L9/J9,0)</f>
        <v>-0.0646368575450228</v>
      </c>
      <c r="N9" s="24" t="n">
        <v>850883</v>
      </c>
      <c r="O9" s="24" t="n">
        <v>897167</v>
      </c>
      <c r="P9" s="15" t="n">
        <f aca="false">O9-N9</f>
        <v>46284</v>
      </c>
      <c r="Q9" s="16" t="n">
        <f aca="false">IFERROR(P9/N9,0)</f>
        <v>0.0543952576323654</v>
      </c>
      <c r="R9" s="24" t="n">
        <v>30924</v>
      </c>
      <c r="S9" s="24" t="n">
        <v>28555</v>
      </c>
      <c r="T9" s="15" t="n">
        <f aca="false">S9-R9</f>
        <v>-2369</v>
      </c>
      <c r="U9" s="16" t="n">
        <f aca="false">IFERROR(T9/R9,0)</f>
        <v>-0.0766071659552451</v>
      </c>
      <c r="V9" s="24" t="n">
        <v>72803</v>
      </c>
      <c r="W9" s="24" t="n">
        <v>79183</v>
      </c>
      <c r="X9" s="15" t="n">
        <f aca="false">W9-V9</f>
        <v>6380</v>
      </c>
      <c r="Y9" s="16" t="n">
        <f aca="false">IFERROR(X9/V9,0)</f>
        <v>0.0876337513564002</v>
      </c>
      <c r="Z9" s="24" t="n">
        <v>15447</v>
      </c>
      <c r="AA9" s="24" t="n">
        <v>16203</v>
      </c>
      <c r="AB9" s="15" t="n">
        <f aca="false">AA9-Z9</f>
        <v>756</v>
      </c>
      <c r="AC9" s="16" t="n">
        <f aca="false">IFERROR(AB9/Z9,0)</f>
        <v>0.0489415420469994</v>
      </c>
      <c r="AD9" s="24" t="n">
        <v>131343</v>
      </c>
      <c r="AE9" s="24" t="n">
        <v>124220</v>
      </c>
      <c r="AF9" s="15" t="n">
        <f aca="false">AE9-AD9</f>
        <v>-7123</v>
      </c>
      <c r="AG9" s="16" t="n">
        <f aca="false">IFERROR(AF9/AD9,0)</f>
        <v>-0.0542320489101056</v>
      </c>
      <c r="AH9" s="24" t="n">
        <v>164250</v>
      </c>
      <c r="AI9" s="24" t="n">
        <v>149630</v>
      </c>
      <c r="AJ9" s="15" t="n">
        <f aca="false">AI9-AH9</f>
        <v>-14620</v>
      </c>
      <c r="AK9" s="16" t="n">
        <f aca="false">IFERROR(AJ9/AH9,0)</f>
        <v>-0.0890106544901066</v>
      </c>
      <c r="AL9" s="24" t="n">
        <v>105653</v>
      </c>
      <c r="AM9" s="24" t="n">
        <v>111652</v>
      </c>
      <c r="AN9" s="15" t="n">
        <f aca="false">AM9-AL9</f>
        <v>5999</v>
      </c>
      <c r="AO9" s="16" t="n">
        <f aca="false">IFERROR(AN9/AL9,0)</f>
        <v>0.0567802144756893</v>
      </c>
      <c r="AP9" s="24" t="n">
        <v>588928</v>
      </c>
      <c r="AQ9" s="24" t="n">
        <v>610856</v>
      </c>
      <c r="AR9" s="15" t="n">
        <f aca="false">AQ9-AP9</f>
        <v>21928</v>
      </c>
      <c r="AS9" s="16" t="n">
        <f aca="false">IFERROR(AR9/AP9,0)</f>
        <v>0.0372337535318409</v>
      </c>
      <c r="AT9" s="24" t="n">
        <v>147261</v>
      </c>
      <c r="AU9" s="24" t="n">
        <v>153331</v>
      </c>
      <c r="AV9" s="15" t="n">
        <f aca="false">AU9-AT9</f>
        <v>6070</v>
      </c>
      <c r="AW9" s="16" t="n">
        <f aca="false">IFERROR(AV9/AT9,0)</f>
        <v>0.0412193316628299</v>
      </c>
    </row>
    <row r="10" customFormat="false" ht="15" hidden="false" customHeight="true" outlineLevel="0" collapsed="false">
      <c r="A10" s="23" t="s">
        <v>48</v>
      </c>
      <c r="B10" s="24" t="n">
        <v>32179</v>
      </c>
      <c r="C10" s="24" t="n">
        <v>32018</v>
      </c>
      <c r="D10" s="15" t="n">
        <f aca="false">C10-B10</f>
        <v>-161</v>
      </c>
      <c r="E10" s="16" t="n">
        <f aca="false">IFERROR(D10/B10,0)</f>
        <v>-0.00500326299760714</v>
      </c>
      <c r="F10" s="24" t="n">
        <v>185677</v>
      </c>
      <c r="G10" s="24" t="n">
        <v>172963</v>
      </c>
      <c r="H10" s="15" t="n">
        <f aca="false">G10-F10</f>
        <v>-12714</v>
      </c>
      <c r="I10" s="16" t="n">
        <f aca="false">IFERROR(H10/F10,0)</f>
        <v>-0.0684737474215977</v>
      </c>
      <c r="J10" s="24" t="n">
        <v>51513</v>
      </c>
      <c r="K10" s="24" t="n">
        <v>53490</v>
      </c>
      <c r="L10" s="15" t="n">
        <f aca="false">K10-J10</f>
        <v>1977</v>
      </c>
      <c r="M10" s="16" t="n">
        <f aca="false">IFERROR(L10/J10,0)</f>
        <v>0.0383786616970473</v>
      </c>
      <c r="N10" s="24" t="n">
        <v>831785</v>
      </c>
      <c r="O10" s="24" t="n">
        <v>870830</v>
      </c>
      <c r="P10" s="15" t="n">
        <f aca="false">O10-N10</f>
        <v>39045</v>
      </c>
      <c r="Q10" s="16" t="n">
        <f aca="false">IFERROR(P10/N10,0)</f>
        <v>0.0469412167807787</v>
      </c>
      <c r="R10" s="24" t="n">
        <v>408379</v>
      </c>
      <c r="S10" s="24" t="n">
        <v>412883</v>
      </c>
      <c r="T10" s="15" t="n">
        <f aca="false">S10-R10</f>
        <v>4504</v>
      </c>
      <c r="U10" s="16" t="n">
        <f aca="false">IFERROR(T10/R10,0)</f>
        <v>0.0110289706375695</v>
      </c>
      <c r="V10" s="24" t="n">
        <v>168077</v>
      </c>
      <c r="W10" s="24" t="n">
        <v>176274</v>
      </c>
      <c r="X10" s="15" t="n">
        <f aca="false">W10-V10</f>
        <v>8197</v>
      </c>
      <c r="Y10" s="16" t="n">
        <f aca="false">IFERROR(X10/V10,0)</f>
        <v>0.0487693140643872</v>
      </c>
      <c r="Z10" s="24" t="n">
        <v>27468</v>
      </c>
      <c r="AA10" s="24" t="n">
        <v>27437</v>
      </c>
      <c r="AB10" s="15" t="n">
        <f aca="false">AA10-Z10</f>
        <v>-31</v>
      </c>
      <c r="AC10" s="16" t="n">
        <f aca="false">IFERROR(AB10/Z10,0)</f>
        <v>-0.00112858599097131</v>
      </c>
      <c r="AD10" s="24" t="n">
        <v>155809</v>
      </c>
      <c r="AE10" s="24" t="n">
        <v>156446</v>
      </c>
      <c r="AF10" s="15" t="n">
        <f aca="false">AE10-AD10</f>
        <v>637</v>
      </c>
      <c r="AG10" s="16" t="n">
        <f aca="false">IFERROR(AF10/AD10,0)</f>
        <v>0.00408833892778979</v>
      </c>
      <c r="AH10" s="24" t="n">
        <v>164520</v>
      </c>
      <c r="AI10" s="24" t="n">
        <v>162374</v>
      </c>
      <c r="AJ10" s="15" t="n">
        <f aca="false">AI10-AH10</f>
        <v>-2146</v>
      </c>
      <c r="AK10" s="16" t="n">
        <f aca="false">IFERROR(AJ10/AH10,0)</f>
        <v>-0.013044006807683</v>
      </c>
      <c r="AL10" s="24" t="n">
        <v>547074</v>
      </c>
      <c r="AM10" s="24" t="n">
        <v>500340</v>
      </c>
      <c r="AN10" s="15" t="n">
        <f aca="false">AM10-AL10</f>
        <v>-46734</v>
      </c>
      <c r="AO10" s="16" t="n">
        <f aca="false">IFERROR(AN10/AL10,0)</f>
        <v>-0.0854253720703232</v>
      </c>
      <c r="AP10" s="24" t="n">
        <v>424520</v>
      </c>
      <c r="AQ10" s="24" t="n">
        <v>394557</v>
      </c>
      <c r="AR10" s="15" t="n">
        <f aca="false">AQ10-AP10</f>
        <v>-29963</v>
      </c>
      <c r="AS10" s="16" t="n">
        <f aca="false">IFERROR(AR10/AP10,0)</f>
        <v>-0.0705808913596533</v>
      </c>
      <c r="AT10" s="24" t="n">
        <v>912818</v>
      </c>
      <c r="AU10" s="24" t="n">
        <v>835828</v>
      </c>
      <c r="AV10" s="15" t="n">
        <f aca="false">AU10-AT10</f>
        <v>-76990</v>
      </c>
      <c r="AW10" s="16" t="n">
        <f aca="false">IFERROR(AV10/AT10,0)</f>
        <v>-0.0843432097088357</v>
      </c>
    </row>
    <row r="11" customFormat="false" ht="15" hidden="false" customHeight="true" outlineLevel="0" collapsed="false">
      <c r="A11" s="23" t="s">
        <v>49</v>
      </c>
      <c r="B11" s="24" t="n">
        <v>176168</v>
      </c>
      <c r="C11" s="24" t="n">
        <v>180398</v>
      </c>
      <c r="D11" s="15" t="n">
        <f aca="false">C11-B11</f>
        <v>4230</v>
      </c>
      <c r="E11" s="16" t="n">
        <f aca="false">IFERROR(D11/B11,0)</f>
        <v>0.0240111711548068</v>
      </c>
      <c r="F11" s="24" t="n">
        <v>331631</v>
      </c>
      <c r="G11" s="24" t="n">
        <v>353804</v>
      </c>
      <c r="H11" s="15" t="n">
        <f aca="false">G11-F11</f>
        <v>22173</v>
      </c>
      <c r="I11" s="16" t="n">
        <f aca="false">IFERROR(H11/F11,0)</f>
        <v>0.0668604563505824</v>
      </c>
      <c r="J11" s="24" t="n">
        <v>1111570</v>
      </c>
      <c r="K11" s="24" t="n">
        <v>1172329</v>
      </c>
      <c r="L11" s="15" t="n">
        <f aca="false">K11-J11</f>
        <v>60759</v>
      </c>
      <c r="M11" s="16" t="n">
        <f aca="false">IFERROR(L11/J11,0)</f>
        <v>0.0546605252030911</v>
      </c>
      <c r="N11" s="24" t="n">
        <v>133849</v>
      </c>
      <c r="O11" s="24" t="n">
        <v>126297</v>
      </c>
      <c r="P11" s="15" t="n">
        <f aca="false">O11-N11</f>
        <v>-7552</v>
      </c>
      <c r="Q11" s="16" t="n">
        <f aca="false">IFERROR(P11/N11,0)</f>
        <v>-0.0564217887320787</v>
      </c>
      <c r="R11" s="24" t="n">
        <v>246601</v>
      </c>
      <c r="S11" s="24" t="n">
        <v>264025</v>
      </c>
      <c r="T11" s="15" t="n">
        <f aca="false">S11-R11</f>
        <v>17424</v>
      </c>
      <c r="U11" s="16" t="n">
        <f aca="false">IFERROR(T11/R11,0)</f>
        <v>0.0706566477832612</v>
      </c>
      <c r="V11" s="24" t="n">
        <v>657601</v>
      </c>
      <c r="W11" s="24" t="n">
        <v>662257</v>
      </c>
      <c r="X11" s="15" t="n">
        <f aca="false">W11-V11</f>
        <v>4656</v>
      </c>
      <c r="Y11" s="16" t="n">
        <f aca="false">IFERROR(X11/V11,0)</f>
        <v>0.00708028120395194</v>
      </c>
      <c r="Z11" s="24" t="n">
        <v>121277</v>
      </c>
      <c r="AA11" s="24" t="n">
        <v>127988</v>
      </c>
      <c r="AB11" s="15" t="n">
        <f aca="false">AA11-Z11</f>
        <v>6711</v>
      </c>
      <c r="AC11" s="16" t="n">
        <f aca="false">IFERROR(AB11/Z11,0)</f>
        <v>0.0553361313357026</v>
      </c>
      <c r="AD11" s="24" t="n">
        <v>37393</v>
      </c>
      <c r="AE11" s="24" t="n">
        <v>40058</v>
      </c>
      <c r="AF11" s="15" t="n">
        <f aca="false">AE11-AD11</f>
        <v>2665</v>
      </c>
      <c r="AG11" s="16" t="n">
        <f aca="false">IFERROR(AF11/AD11,0)</f>
        <v>0.0712700238012462</v>
      </c>
      <c r="AH11" s="24" t="n">
        <v>159710</v>
      </c>
      <c r="AI11" s="24" t="n">
        <v>154478</v>
      </c>
      <c r="AJ11" s="15" t="n">
        <f aca="false">AI11-AH11</f>
        <v>-5232</v>
      </c>
      <c r="AK11" s="16" t="n">
        <f aca="false">IFERROR(AJ11/AH11,0)</f>
        <v>-0.03275937636967</v>
      </c>
      <c r="AL11" s="24" t="n">
        <v>82067</v>
      </c>
      <c r="AM11" s="24" t="n">
        <v>76306</v>
      </c>
      <c r="AN11" s="15" t="n">
        <f aca="false">AM11-AL11</f>
        <v>-5761</v>
      </c>
      <c r="AO11" s="16" t="n">
        <f aca="false">IFERROR(AN11/AL11,0)</f>
        <v>-0.0701987400538584</v>
      </c>
      <c r="AP11" s="24" t="n">
        <v>1239326</v>
      </c>
      <c r="AQ11" s="24" t="n">
        <v>1178634</v>
      </c>
      <c r="AR11" s="15" t="n">
        <f aca="false">AQ11-AP11</f>
        <v>-60692</v>
      </c>
      <c r="AS11" s="16" t="n">
        <f aca="false">IFERROR(AR11/AP11,0)</f>
        <v>-0.0489717798222582</v>
      </c>
      <c r="AT11" s="24" t="n">
        <v>770631</v>
      </c>
      <c r="AU11" s="24" t="n">
        <v>760519</v>
      </c>
      <c r="AV11" s="15" t="n">
        <f aca="false">AU11-AT11</f>
        <v>-10112</v>
      </c>
      <c r="AW11" s="16" t="n">
        <f aca="false">IFERROR(AV11/AT11,0)</f>
        <v>-0.0131217145430173</v>
      </c>
    </row>
    <row r="12" customFormat="false" ht="15" hidden="false" customHeight="true" outlineLevel="0" collapsed="false">
      <c r="A12" s="23" t="s">
        <v>50</v>
      </c>
      <c r="B12" s="24" t="n">
        <v>1363</v>
      </c>
      <c r="C12" s="24" t="n">
        <v>1476</v>
      </c>
      <c r="D12" s="15" t="n">
        <f aca="false">C12-B12</f>
        <v>113</v>
      </c>
      <c r="E12" s="16" t="n">
        <f aca="false">IFERROR(D12/B12,0)</f>
        <v>0.0829053558327219</v>
      </c>
      <c r="F12" s="24" t="n">
        <v>139699</v>
      </c>
      <c r="G12" s="24" t="n">
        <v>133457</v>
      </c>
      <c r="H12" s="15" t="n">
        <f aca="false">G12-F12</f>
        <v>-6242</v>
      </c>
      <c r="I12" s="16" t="n">
        <f aca="false">IFERROR(H12/F12,0)</f>
        <v>-0.0446817801129571</v>
      </c>
      <c r="J12" s="24" t="n">
        <v>105579</v>
      </c>
      <c r="K12" s="24" t="n">
        <v>105526</v>
      </c>
      <c r="L12" s="15" t="n">
        <f aca="false">K12-J12</f>
        <v>-53</v>
      </c>
      <c r="M12" s="16" t="n">
        <f aca="false">IFERROR(L12/J12,0)</f>
        <v>-0.000501993767700016</v>
      </c>
      <c r="N12" s="24" t="n">
        <v>49083</v>
      </c>
      <c r="O12" s="24" t="n">
        <v>47323</v>
      </c>
      <c r="P12" s="15" t="n">
        <f aca="false">O12-N12</f>
        <v>-1760</v>
      </c>
      <c r="Q12" s="16" t="n">
        <f aca="false">IFERROR(P12/N12,0)</f>
        <v>-0.035857628914288</v>
      </c>
      <c r="R12" s="24" t="n">
        <v>24951</v>
      </c>
      <c r="S12" s="24" t="n">
        <v>23984</v>
      </c>
      <c r="T12" s="15" t="n">
        <f aca="false">S12-R12</f>
        <v>-967</v>
      </c>
      <c r="U12" s="16" t="n">
        <f aca="false">IFERROR(T12/R12,0)</f>
        <v>-0.0387559616849024</v>
      </c>
      <c r="V12" s="24" t="n">
        <v>80494</v>
      </c>
      <c r="W12" s="24" t="n">
        <v>73783</v>
      </c>
      <c r="X12" s="15" t="n">
        <f aca="false">W12-V12</f>
        <v>-6711</v>
      </c>
      <c r="Y12" s="16" t="n">
        <f aca="false">IFERROR(X12/V12,0)</f>
        <v>-0.0833726737396576</v>
      </c>
      <c r="Z12" s="24" t="n">
        <v>559505</v>
      </c>
      <c r="AA12" s="24" t="n">
        <v>570539</v>
      </c>
      <c r="AB12" s="15" t="n">
        <f aca="false">AA12-Z12</f>
        <v>11034</v>
      </c>
      <c r="AC12" s="16" t="n">
        <f aca="false">IFERROR(AB12/Z12,0)</f>
        <v>0.0197210033869224</v>
      </c>
      <c r="AD12" s="24" t="n">
        <v>76288</v>
      </c>
      <c r="AE12" s="24" t="n">
        <v>76324</v>
      </c>
      <c r="AF12" s="15" t="n">
        <f aca="false">AE12-AD12</f>
        <v>36</v>
      </c>
      <c r="AG12" s="16" t="n">
        <f aca="false">IFERROR(AF12/AD12,0)</f>
        <v>0.000471895973154362</v>
      </c>
      <c r="AH12" s="24" t="n">
        <v>142939</v>
      </c>
      <c r="AI12" s="24" t="n">
        <v>131398</v>
      </c>
      <c r="AJ12" s="15" t="n">
        <f aca="false">AI12-AH12</f>
        <v>-11541</v>
      </c>
      <c r="AK12" s="16" t="n">
        <f aca="false">IFERROR(AJ12/AH12,0)</f>
        <v>-0.080740735558525</v>
      </c>
      <c r="AL12" s="24" t="n">
        <v>237254</v>
      </c>
      <c r="AM12" s="24" t="n">
        <v>227800</v>
      </c>
      <c r="AN12" s="15" t="n">
        <f aca="false">AM12-AL12</f>
        <v>-9454</v>
      </c>
      <c r="AO12" s="16" t="n">
        <f aca="false">IFERROR(AN12/AL12,0)</f>
        <v>-0.0398475895032328</v>
      </c>
      <c r="AP12" s="24" t="n">
        <v>88324</v>
      </c>
      <c r="AQ12" s="24" t="n">
        <v>94814</v>
      </c>
      <c r="AR12" s="15" t="n">
        <f aca="false">AQ12-AP12</f>
        <v>6490</v>
      </c>
      <c r="AS12" s="16" t="n">
        <f aca="false">IFERROR(AR12/AP12,0)</f>
        <v>0.0734794619808886</v>
      </c>
      <c r="AT12" s="24" t="n">
        <v>697211</v>
      </c>
      <c r="AU12" s="24" t="n">
        <v>664526</v>
      </c>
      <c r="AV12" s="15" t="n">
        <f aca="false">AU12-AT12</f>
        <v>-32685</v>
      </c>
      <c r="AW12" s="16" t="n">
        <f aca="false">IFERROR(AV12/AT12,0)</f>
        <v>-0.046879639018891</v>
      </c>
    </row>
    <row r="13" customFormat="false" ht="15" hidden="false" customHeight="true" outlineLevel="0" collapsed="false">
      <c r="A13" s="23" t="s">
        <v>51</v>
      </c>
      <c r="B13" s="24" t="n">
        <v>204546</v>
      </c>
      <c r="C13" s="24" t="n">
        <v>215530</v>
      </c>
      <c r="D13" s="15" t="n">
        <f aca="false">C13-B13</f>
        <v>10984</v>
      </c>
      <c r="E13" s="16" t="n">
        <f aca="false">IFERROR(D13/B13,0)</f>
        <v>0.0536994123571226</v>
      </c>
      <c r="F13" s="24" t="n">
        <v>160450</v>
      </c>
      <c r="G13" s="24" t="n">
        <v>150362</v>
      </c>
      <c r="H13" s="15" t="n">
        <f aca="false">G13-F13</f>
        <v>-10088</v>
      </c>
      <c r="I13" s="16" t="n">
        <f aca="false">IFERROR(H13/F13,0)</f>
        <v>-0.0628731692115924</v>
      </c>
      <c r="J13" s="24" t="n">
        <v>217501</v>
      </c>
      <c r="K13" s="24" t="n">
        <v>217821</v>
      </c>
      <c r="L13" s="15" t="n">
        <f aca="false">K13-J13</f>
        <v>320</v>
      </c>
      <c r="M13" s="16" t="n">
        <f aca="false">IFERROR(L13/J13,0)</f>
        <v>0.00147125760341332</v>
      </c>
      <c r="N13" s="24" t="n">
        <v>242694</v>
      </c>
      <c r="O13" s="24" t="n">
        <v>251248</v>
      </c>
      <c r="P13" s="15" t="n">
        <f aca="false">O13-N13</f>
        <v>8554</v>
      </c>
      <c r="Q13" s="16" t="n">
        <f aca="false">IFERROR(P13/N13,0)</f>
        <v>0.0352460299801396</v>
      </c>
      <c r="R13" s="24" t="n">
        <v>22781</v>
      </c>
      <c r="S13" s="24" t="n">
        <v>24250</v>
      </c>
      <c r="T13" s="15" t="n">
        <f aca="false">S13-R13</f>
        <v>1469</v>
      </c>
      <c r="U13" s="16" t="n">
        <f aca="false">IFERROR(T13/R13,0)</f>
        <v>0.0644835608621219</v>
      </c>
      <c r="V13" s="24" t="n">
        <v>124695</v>
      </c>
      <c r="W13" s="24" t="n">
        <v>120788</v>
      </c>
      <c r="X13" s="15" t="n">
        <f aca="false">W13-V13</f>
        <v>-3907</v>
      </c>
      <c r="Y13" s="16" t="n">
        <f aca="false">IFERROR(X13/V13,0)</f>
        <v>-0.0313324511808814</v>
      </c>
      <c r="Z13" s="24" t="n">
        <v>74922</v>
      </c>
      <c r="AA13" s="24" t="n">
        <v>71149</v>
      </c>
      <c r="AB13" s="15" t="n">
        <f aca="false">AA13-Z13</f>
        <v>-3773</v>
      </c>
      <c r="AC13" s="16" t="n">
        <f aca="false">IFERROR(AB13/Z13,0)</f>
        <v>-0.0503590400683377</v>
      </c>
      <c r="AD13" s="24" t="n">
        <v>439148</v>
      </c>
      <c r="AE13" s="24" t="n">
        <v>455838</v>
      </c>
      <c r="AF13" s="15" t="n">
        <f aca="false">AE13-AD13</f>
        <v>16690</v>
      </c>
      <c r="AG13" s="16" t="n">
        <f aca="false">IFERROR(AF13/AD13,0)</f>
        <v>0.0380054104766502</v>
      </c>
      <c r="AH13" s="24" t="n">
        <v>171698</v>
      </c>
      <c r="AI13" s="24" t="n">
        <v>181263</v>
      </c>
      <c r="AJ13" s="15" t="n">
        <f aca="false">AI13-AH13</f>
        <v>9565</v>
      </c>
      <c r="AK13" s="16" t="n">
        <f aca="false">IFERROR(AJ13/AH13,0)</f>
        <v>0.0557082784889748</v>
      </c>
      <c r="AL13" s="24" t="n">
        <v>1107759</v>
      </c>
      <c r="AM13" s="24" t="n">
        <v>1077583</v>
      </c>
      <c r="AN13" s="15" t="n">
        <f aca="false">AM13-AL13</f>
        <v>-30176</v>
      </c>
      <c r="AO13" s="16" t="n">
        <f aca="false">IFERROR(AN13/AL13,0)</f>
        <v>-0.0272405821121742</v>
      </c>
      <c r="AP13" s="24" t="n">
        <v>137497</v>
      </c>
      <c r="AQ13" s="24" t="n">
        <v>127502</v>
      </c>
      <c r="AR13" s="15" t="n">
        <f aca="false">AQ13-AP13</f>
        <v>-9995</v>
      </c>
      <c r="AS13" s="16" t="n">
        <f aca="false">IFERROR(AR13/AP13,0)</f>
        <v>-0.0726924951089842</v>
      </c>
      <c r="AT13" s="24" t="n">
        <v>458038</v>
      </c>
      <c r="AU13" s="24" t="n">
        <v>494357</v>
      </c>
      <c r="AV13" s="15" t="n">
        <f aca="false">AU13-AT13</f>
        <v>36319</v>
      </c>
      <c r="AW13" s="16" t="n">
        <f aca="false">IFERROR(AV13/AT13,0)</f>
        <v>0.0792925477798785</v>
      </c>
    </row>
    <row r="14" customFormat="false" ht="15" hidden="false" customHeight="true" outlineLevel="0" collapsed="false">
      <c r="A14" s="23" t="s">
        <v>52</v>
      </c>
      <c r="B14" s="24" t="n">
        <v>107335</v>
      </c>
      <c r="C14" s="24" t="n">
        <v>116922</v>
      </c>
      <c r="D14" s="15" t="n">
        <f aca="false">C14-B14</f>
        <v>9587</v>
      </c>
      <c r="E14" s="16" t="n">
        <f aca="false">IFERROR(D14/B14,0)</f>
        <v>0.0893184888433409</v>
      </c>
      <c r="F14" s="24" t="n">
        <v>267622</v>
      </c>
      <c r="G14" s="24" t="n">
        <v>290042</v>
      </c>
      <c r="H14" s="15" t="n">
        <f aca="false">G14-F14</f>
        <v>22420</v>
      </c>
      <c r="I14" s="16" t="n">
        <f aca="false">IFERROR(H14/F14,0)</f>
        <v>0.0837748765049211</v>
      </c>
      <c r="J14" s="24" t="n">
        <v>165729</v>
      </c>
      <c r="K14" s="24" t="n">
        <v>167467</v>
      </c>
      <c r="L14" s="15" t="n">
        <f aca="false">K14-J14</f>
        <v>1738</v>
      </c>
      <c r="M14" s="16" t="n">
        <f aca="false">IFERROR(L14/J14,0)</f>
        <v>0.0104869998612192</v>
      </c>
      <c r="N14" s="24" t="n">
        <v>195575</v>
      </c>
      <c r="O14" s="24" t="n">
        <v>209045</v>
      </c>
      <c r="P14" s="15" t="n">
        <f aca="false">O14-N14</f>
        <v>13470</v>
      </c>
      <c r="Q14" s="16" t="n">
        <f aca="false">IFERROR(P14/N14,0)</f>
        <v>0.068873833567685</v>
      </c>
      <c r="R14" s="24" t="n">
        <v>34520</v>
      </c>
      <c r="S14" s="24" t="n">
        <v>32585</v>
      </c>
      <c r="T14" s="15" t="n">
        <f aca="false">S14-R14</f>
        <v>-1935</v>
      </c>
      <c r="U14" s="16" t="n">
        <f aca="false">IFERROR(T14/R14,0)</f>
        <v>-0.0560544611819235</v>
      </c>
      <c r="V14" s="24" t="n">
        <v>114751</v>
      </c>
      <c r="W14" s="24" t="n">
        <v>110183</v>
      </c>
      <c r="X14" s="15" t="n">
        <f aca="false">W14-V14</f>
        <v>-4568</v>
      </c>
      <c r="Y14" s="16" t="n">
        <f aca="false">IFERROR(X14/V14,0)</f>
        <v>-0.03980793195702</v>
      </c>
      <c r="Z14" s="24" t="n">
        <v>175143</v>
      </c>
      <c r="AA14" s="24" t="n">
        <v>181459</v>
      </c>
      <c r="AB14" s="15" t="n">
        <f aca="false">AA14-Z14</f>
        <v>6316</v>
      </c>
      <c r="AC14" s="16" t="n">
        <f aca="false">IFERROR(AB14/Z14,0)</f>
        <v>0.0360619607977481</v>
      </c>
      <c r="AD14" s="24" t="n">
        <v>38190</v>
      </c>
      <c r="AE14" s="24" t="n">
        <v>40573</v>
      </c>
      <c r="AF14" s="15" t="n">
        <f aca="false">AE14-AD14</f>
        <v>2383</v>
      </c>
      <c r="AG14" s="16" t="n">
        <f aca="false">IFERROR(AF14/AD14,0)</f>
        <v>0.0623985336475517</v>
      </c>
      <c r="AH14" s="24" t="n">
        <v>28305</v>
      </c>
      <c r="AI14" s="24" t="n">
        <v>30120</v>
      </c>
      <c r="AJ14" s="15" t="n">
        <f aca="false">AI14-AH14</f>
        <v>1815</v>
      </c>
      <c r="AK14" s="16" t="n">
        <f aca="false">IFERROR(AJ14/AH14,0)</f>
        <v>0.0641229464758877</v>
      </c>
      <c r="AL14" s="24" t="n">
        <v>592649</v>
      </c>
      <c r="AM14" s="24" t="n">
        <v>582462</v>
      </c>
      <c r="AN14" s="15" t="n">
        <f aca="false">AM14-AL14</f>
        <v>-10187</v>
      </c>
      <c r="AO14" s="16" t="n">
        <f aca="false">IFERROR(AN14/AL14,0)</f>
        <v>-0.0171889263290751</v>
      </c>
      <c r="AP14" s="24" t="n">
        <v>106995</v>
      </c>
      <c r="AQ14" s="24" t="n">
        <v>114463</v>
      </c>
      <c r="AR14" s="15" t="n">
        <f aca="false">AQ14-AP14</f>
        <v>7468</v>
      </c>
      <c r="AS14" s="16" t="n">
        <f aca="false">IFERROR(AR14/AP14,0)</f>
        <v>0.0697976540959858</v>
      </c>
      <c r="AT14" s="24" t="n">
        <v>44481</v>
      </c>
      <c r="AU14" s="24" t="n">
        <v>47290</v>
      </c>
      <c r="AV14" s="15" t="n">
        <f aca="false">AU14-AT14</f>
        <v>2809</v>
      </c>
      <c r="AW14" s="16" t="n">
        <f aca="false">IFERROR(AV14/AT14,0)</f>
        <v>0.0631505586654976</v>
      </c>
    </row>
    <row r="15" customFormat="false" ht="15" hidden="false" customHeight="true" outlineLevel="0" collapsed="false">
      <c r="A15" s="25" t="s">
        <v>53</v>
      </c>
      <c r="B15" s="26" t="n">
        <f aca="false">SUM(B8,B9,B10,B11,B12,B13,B14)</f>
        <v>2768009</v>
      </c>
      <c r="C15" s="26" t="n">
        <f aca="false">SUM(C8,C9,C10,C11,C12,C13,C14)</f>
        <v>2799065</v>
      </c>
      <c r="D15" s="26" t="n">
        <f aca="false">C15-B15</f>
        <v>31056</v>
      </c>
      <c r="E15" s="27" t="n">
        <f aca="false">IFERROR(D15/B15,0)</f>
        <v>0.0112196166992232</v>
      </c>
      <c r="F15" s="26" t="n">
        <f aca="false">SUM(F8,F9,F10,F11,F12,F13,F14)</f>
        <v>2038260</v>
      </c>
      <c r="G15" s="26" t="n">
        <f aca="false">SUM(G8,G9,G10,G11,G12,G13,G14)</f>
        <v>2063574</v>
      </c>
      <c r="H15" s="26" t="n">
        <f aca="false">G15-F15</f>
        <v>25314</v>
      </c>
      <c r="I15" s="27" t="n">
        <f aca="false">IFERROR(H15/F15,0)</f>
        <v>0.0124194165611845</v>
      </c>
      <c r="J15" s="26" t="n">
        <f aca="false">SUM(J8,J9,J10,J11,J12,J13,J14)</f>
        <v>2585931</v>
      </c>
      <c r="K15" s="26" t="n">
        <f aca="false">SUM(K8,K9,K10,K11,K12,K13,K14)</f>
        <v>2668800</v>
      </c>
      <c r="L15" s="26" t="n">
        <f aca="false">K15-J15</f>
        <v>82869</v>
      </c>
      <c r="M15" s="27" t="n">
        <f aca="false">IFERROR(L15/J15,0)</f>
        <v>0.032046098677807</v>
      </c>
      <c r="N15" s="26" t="n">
        <f aca="false">SUM(N8,N9,N10,N11,N12,N13,N14)</f>
        <v>2669347</v>
      </c>
      <c r="O15" s="26" t="n">
        <f aca="false">SUM(O8,O9,O10,O11,O12,O13,O14)</f>
        <v>2745899</v>
      </c>
      <c r="P15" s="26" t="n">
        <f aca="false">O15-N15</f>
        <v>76552</v>
      </c>
      <c r="Q15" s="27" t="n">
        <f aca="false">IFERROR(P15/N15,0)</f>
        <v>0.0286781748495044</v>
      </c>
      <c r="R15" s="26" t="n">
        <f aca="false">SUM(R8,R9,R10,R11,R12,R13,R14)</f>
        <v>960044</v>
      </c>
      <c r="S15" s="26" t="n">
        <f aca="false">SUM(S8,S9,S10,S11,S12,S13,S14)</f>
        <v>974407</v>
      </c>
      <c r="T15" s="26" t="n">
        <f aca="false">S15-R15</f>
        <v>14363</v>
      </c>
      <c r="U15" s="27" t="n">
        <f aca="false">IFERROR(T15/R15,0)</f>
        <v>0.0149607726312544</v>
      </c>
      <c r="V15" s="26" t="n">
        <f aca="false">SUM(V8,V9,V10,V11,V12,V13,V14)</f>
        <v>1222701</v>
      </c>
      <c r="W15" s="26" t="n">
        <f aca="false">SUM(W8,W9,W10,W11,W12,W13,W14)</f>
        <v>1226503</v>
      </c>
      <c r="X15" s="26" t="n">
        <f aca="false">W15-V15</f>
        <v>3802</v>
      </c>
      <c r="Y15" s="27" t="n">
        <f aca="false">IFERROR(X15/V15,0)</f>
        <v>0.00310950919317151</v>
      </c>
      <c r="Z15" s="26" t="n">
        <f aca="false">SUM(Z8,Z9,Z10,Z11,Z12,Z13,Z14)</f>
        <v>1887396</v>
      </c>
      <c r="AA15" s="26" t="n">
        <f aca="false">SUM(AA8,AA9,AA10,AA11,AA12,AA13,AA14)</f>
        <v>1950404</v>
      </c>
      <c r="AB15" s="26" t="n">
        <f aca="false">AA15-Z15</f>
        <v>63008</v>
      </c>
      <c r="AC15" s="27" t="n">
        <f aca="false">IFERROR(AB15/Z15,0)</f>
        <v>0.0333835612664221</v>
      </c>
      <c r="AD15" s="26" t="n">
        <f aca="false">SUM(AD8,AD9,AD10,AD11,AD12,AD13,AD14)</f>
        <v>1143686</v>
      </c>
      <c r="AE15" s="26" t="n">
        <f aca="false">SUM(AE8,AE9,AE10,AE11,AE12,AE13,AE14)</f>
        <v>1155396</v>
      </c>
      <c r="AF15" s="26" t="n">
        <f aca="false">AE15-AD15</f>
        <v>11710</v>
      </c>
      <c r="AG15" s="27" t="n">
        <f aca="false">IFERROR(AF15/AD15,0)</f>
        <v>0.0102388242926817</v>
      </c>
      <c r="AH15" s="26" t="n">
        <f aca="false">SUM(AH8,AH9,AH10,AH11,AH12,AH13,AH14)</f>
        <v>987437</v>
      </c>
      <c r="AI15" s="26" t="n">
        <f aca="false">SUM(AI8,AI9,AI10,AI11,AI12,AI13,AI14)</f>
        <v>957076</v>
      </c>
      <c r="AJ15" s="26" t="n">
        <f aca="false">AI15-AH15</f>
        <v>-30361</v>
      </c>
      <c r="AK15" s="27" t="n">
        <f aca="false">IFERROR(AJ15/AH15,0)</f>
        <v>-0.0307472780541949</v>
      </c>
      <c r="AL15" s="26" t="n">
        <f aca="false">SUM(AL8,AL9,AL10,AL11,AL12,AL13,AL14)</f>
        <v>2677614</v>
      </c>
      <c r="AM15" s="26" t="n">
        <f aca="false">SUM(AM8,AM9,AM10,AM11,AM12,AM13,AM14)</f>
        <v>2581363</v>
      </c>
      <c r="AN15" s="26" t="n">
        <f aca="false">AM15-AL15</f>
        <v>-96251</v>
      </c>
      <c r="AO15" s="27" t="n">
        <f aca="false">IFERROR(AN15/AL15,0)</f>
        <v>-0.0359465554034301</v>
      </c>
      <c r="AP15" s="26" t="n">
        <f aca="false">SUM(AP8,AP9,AP10,AP11,AP12,AP13,AP14)</f>
        <v>2669725</v>
      </c>
      <c r="AQ15" s="26" t="n">
        <f aca="false">SUM(AQ8,AQ9,AQ10,AQ11,AQ12,AQ13,AQ14)</f>
        <v>2597863</v>
      </c>
      <c r="AR15" s="26" t="n">
        <f aca="false">AQ15-AP15</f>
        <v>-71862</v>
      </c>
      <c r="AS15" s="27" t="n">
        <f aca="false">IFERROR(AR15/AP15,0)</f>
        <v>-0.0269173791308094</v>
      </c>
      <c r="AT15" s="26" t="n">
        <f aca="false">SUM(AT8,AT9,AT10,AT11,AT12,AT13,AT14)</f>
        <v>3118825</v>
      </c>
      <c r="AU15" s="26" t="n">
        <f aca="false">SUM(AU8,AU9,AU10,AU11,AU12,AU13,AU14)</f>
        <v>3049681</v>
      </c>
      <c r="AV15" s="26" t="n">
        <f aca="false">AU15-AT15</f>
        <v>-69144</v>
      </c>
      <c r="AW15" s="27" t="n">
        <f aca="false">IFERROR(AV15/AT15,0)</f>
        <v>-0.0221698876980914</v>
      </c>
    </row>
    <row r="16" customFormat="false" ht="15" hidden="false" customHeight="true" outlineLevel="0" collapsed="false">
      <c r="A16" s="25" t="s">
        <v>54</v>
      </c>
      <c r="B16" s="26" t="n">
        <f aca="false">B6-B15</f>
        <v>-2483908</v>
      </c>
      <c r="C16" s="26" t="n">
        <f aca="false">C6-C15</f>
        <v>-2531155</v>
      </c>
      <c r="D16" s="26" t="n">
        <f aca="false">C16-B16</f>
        <v>-47247</v>
      </c>
      <c r="E16" s="27" t="n">
        <f aca="false">IFERROR(D16/B16,0)</f>
        <v>0.0190212358911844</v>
      </c>
      <c r="F16" s="26" t="n">
        <f aca="false">F6-F15</f>
        <v>-1985474</v>
      </c>
      <c r="G16" s="26" t="n">
        <f aca="false">G6-G15</f>
        <v>-2012648</v>
      </c>
      <c r="H16" s="26" t="n">
        <f aca="false">G16-F16</f>
        <v>-27174</v>
      </c>
      <c r="I16" s="27" t="n">
        <f aca="false">IFERROR(H16/F16,0)</f>
        <v>0.0136864043548291</v>
      </c>
      <c r="J16" s="26" t="n">
        <f aca="false">J6-J15</f>
        <v>-2533154</v>
      </c>
      <c r="K16" s="26" t="n">
        <f aca="false">K6-K15</f>
        <v>-2615788</v>
      </c>
      <c r="L16" s="26" t="n">
        <f aca="false">K16-J16</f>
        <v>-82634</v>
      </c>
      <c r="M16" s="27" t="n">
        <f aca="false">IFERROR(L16/J16,0)</f>
        <v>0.0326209934334825</v>
      </c>
      <c r="N16" s="26" t="n">
        <f aca="false">N6-N15</f>
        <v>-2650726</v>
      </c>
      <c r="O16" s="26" t="n">
        <f aca="false">O6-O15</f>
        <v>-2727507</v>
      </c>
      <c r="P16" s="26" t="n">
        <f aca="false">O16-N16</f>
        <v>-76781</v>
      </c>
      <c r="Q16" s="27" t="n">
        <f aca="false">IFERROR(P16/N16,0)</f>
        <v>0.0289660266659021</v>
      </c>
      <c r="R16" s="26" t="n">
        <f aca="false">R6-R15</f>
        <v>-334163</v>
      </c>
      <c r="S16" s="26" t="n">
        <f aca="false">S6-S15</f>
        <v>-372046</v>
      </c>
      <c r="T16" s="26" t="n">
        <f aca="false">S16-R16</f>
        <v>-37883</v>
      </c>
      <c r="U16" s="27" t="n">
        <f aca="false">IFERROR(T16/R16,0)</f>
        <v>0.113366829960229</v>
      </c>
      <c r="V16" s="26" t="n">
        <f aca="false">V6-V15</f>
        <v>-936689</v>
      </c>
      <c r="W16" s="26" t="n">
        <f aca="false">W6-W15</f>
        <v>-934733</v>
      </c>
      <c r="X16" s="26" t="n">
        <f aca="false">W16-V16</f>
        <v>1956</v>
      </c>
      <c r="Y16" s="27" t="n">
        <f aca="false">IFERROR(X16/V16,0)</f>
        <v>-0.00208820643778244</v>
      </c>
      <c r="Z16" s="26" t="n">
        <f aca="false">Z6-Z15</f>
        <v>-1504240</v>
      </c>
      <c r="AA16" s="26" t="n">
        <f aca="false">AA6-AA15</f>
        <v>-1592112</v>
      </c>
      <c r="AB16" s="26" t="n">
        <f aca="false">AA16-Z16</f>
        <v>-87872</v>
      </c>
      <c r="AC16" s="27" t="n">
        <f aca="false">IFERROR(AB16/Z16,0)</f>
        <v>0.0584162101792267</v>
      </c>
      <c r="AD16" s="26" t="n">
        <f aca="false">AD6-AD15</f>
        <v>-1137213</v>
      </c>
      <c r="AE16" s="26" t="n">
        <f aca="false">AE6-AE15</f>
        <v>-1149166</v>
      </c>
      <c r="AF16" s="26" t="n">
        <f aca="false">AE16-AD16</f>
        <v>-11953</v>
      </c>
      <c r="AG16" s="27" t="n">
        <f aca="false">IFERROR(AF16/AD16,0)</f>
        <v>0.0105107838197418</v>
      </c>
      <c r="AH16" s="26" t="n">
        <f aca="false">AH6-AH15</f>
        <v>102846</v>
      </c>
      <c r="AI16" s="26" t="n">
        <f aca="false">AI6-AI15</f>
        <v>106980</v>
      </c>
      <c r="AJ16" s="26" t="n">
        <f aca="false">AI16-AH16</f>
        <v>4134</v>
      </c>
      <c r="AK16" s="27" t="n">
        <f aca="false">IFERROR(AJ16/AH16,0)</f>
        <v>0.0401960212356339</v>
      </c>
      <c r="AL16" s="26" t="n">
        <f aca="false">AL6-AL15</f>
        <v>-2121690</v>
      </c>
      <c r="AM16" s="26" t="n">
        <f aca="false">AM6-AM15</f>
        <v>-2029835</v>
      </c>
      <c r="AN16" s="26" t="n">
        <f aca="false">AM16-AL16</f>
        <v>91855</v>
      </c>
      <c r="AO16" s="27" t="n">
        <f aca="false">IFERROR(AN16/AL16,0)</f>
        <v>-0.0432933180624879</v>
      </c>
      <c r="AP16" s="26" t="n">
        <f aca="false">AP6-AP15</f>
        <v>-2595447</v>
      </c>
      <c r="AQ16" s="26" t="n">
        <f aca="false">AQ6-AQ15</f>
        <v>-2519773</v>
      </c>
      <c r="AR16" s="26" t="n">
        <f aca="false">AQ16-AP16</f>
        <v>75674</v>
      </c>
      <c r="AS16" s="27" t="n">
        <f aca="false">IFERROR(AR16/AP16,0)</f>
        <v>-0.0291564420309873</v>
      </c>
      <c r="AT16" s="26" t="n">
        <f aca="false">AT6-AT15</f>
        <v>-3056375</v>
      </c>
      <c r="AU16" s="26" t="n">
        <f aca="false">AU6-AU15</f>
        <v>-2990607</v>
      </c>
      <c r="AV16" s="26" t="n">
        <f aca="false">AU16-AT16</f>
        <v>65768</v>
      </c>
      <c r="AW16" s="27" t="n">
        <f aca="false">IFERROR(AV16/AT16,0)</f>
        <v>-0.0215183019099423</v>
      </c>
    </row>
    <row r="17" customFormat="false" ht="15" hidden="false" customHeight="true" outlineLevel="0" collapsed="false">
      <c r="A17" s="28" t="s">
        <v>55</v>
      </c>
      <c r="B17" s="16" t="n">
        <f aca="false">IFERROR(B16/B6,0)</f>
        <v>-8.74304560702004</v>
      </c>
      <c r="C17" s="16" t="n">
        <f aca="false">IFERROR(C16/C6,0)</f>
        <v>-9.44778097122168</v>
      </c>
      <c r="D17" s="16" t="n">
        <f aca="false">C17-B17</f>
        <v>-0.704735364201641</v>
      </c>
      <c r="E17" s="29"/>
      <c r="F17" s="16" t="n">
        <f aca="false">IFERROR(F16/F6,0)</f>
        <v>-37.6136475580646</v>
      </c>
      <c r="G17" s="16" t="n">
        <f aca="false">IFERROR(G16/G6,0)</f>
        <v>-39.5210305148647</v>
      </c>
      <c r="H17" s="16" t="n">
        <f aca="false">G17-F17</f>
        <v>-1.90738295680006</v>
      </c>
      <c r="I17" s="29"/>
      <c r="J17" s="16" t="n">
        <f aca="false">IFERROR(J16/J6,0)</f>
        <v>-47.9973094340338</v>
      </c>
      <c r="K17" s="16" t="n">
        <f aca="false">IFERROR(K16/K6,0)</f>
        <v>-49.3433184939259</v>
      </c>
      <c r="L17" s="16" t="n">
        <f aca="false">K17-J17</f>
        <v>-1.34600905989214</v>
      </c>
      <c r="M17" s="29"/>
      <c r="N17" s="16" t="n">
        <f aca="false">IFERROR(N16/N6,0)</f>
        <v>-142.351431179851</v>
      </c>
      <c r="O17" s="16" t="n">
        <f aca="false">IFERROR(O16/O6,0)</f>
        <v>-148.298553719008</v>
      </c>
      <c r="P17" s="16" t="n">
        <f aca="false">O17-N17</f>
        <v>-5.94712253915756</v>
      </c>
      <c r="Q17" s="29"/>
      <c r="R17" s="16" t="n">
        <f aca="false">IFERROR(R16/R6,0)</f>
        <v>-0.533908202997055</v>
      </c>
      <c r="S17" s="16" t="n">
        <f aca="false">IFERROR(S16/S6,0)</f>
        <v>-0.61764622875651</v>
      </c>
      <c r="T17" s="16" t="n">
        <f aca="false">S17-R17</f>
        <v>-0.0837380257594544</v>
      </c>
      <c r="U17" s="29"/>
      <c r="V17" s="16" t="n">
        <f aca="false">IFERROR(V16/V6,0)</f>
        <v>-3.27499895109296</v>
      </c>
      <c r="W17" s="16" t="n">
        <f aca="false">IFERROR(W16/W6,0)</f>
        <v>-3.20366384480927</v>
      </c>
      <c r="X17" s="16" t="n">
        <f aca="false">W17-V17</f>
        <v>0.0713351062836938</v>
      </c>
      <c r="Y17" s="29"/>
      <c r="Z17" s="16" t="n">
        <f aca="false">IFERROR(Z16/Z6,0)</f>
        <v>-3.92592051279374</v>
      </c>
      <c r="AA17" s="16" t="n">
        <f aca="false">IFERROR(AA16/AA6,0)</f>
        <v>-4.443615821732</v>
      </c>
      <c r="AB17" s="16" t="n">
        <f aca="false">AA17-Z17</f>
        <v>-0.51769530893825</v>
      </c>
      <c r="AC17" s="29"/>
      <c r="AD17" s="16" t="n">
        <f aca="false">IFERROR(AD16/AD6,0)</f>
        <v>-175.685617179051</v>
      </c>
      <c r="AE17" s="16" t="n">
        <f aca="false">IFERROR(AE16/AE6,0)</f>
        <v>-184.456821829856</v>
      </c>
      <c r="AF17" s="16" t="n">
        <f aca="false">AE17-AD17</f>
        <v>-8.77120465080409</v>
      </c>
      <c r="AG17" s="29"/>
      <c r="AH17" s="16" t="n">
        <f aca="false">IFERROR(AH16/AH6,0)</f>
        <v>0.0943296373510364</v>
      </c>
      <c r="AI17" s="16" t="n">
        <f aca="false">IFERROR(AI16/AI6,0)</f>
        <v>0.100539821212417</v>
      </c>
      <c r="AJ17" s="16" t="n">
        <f aca="false">AI17-AH17</f>
        <v>0.006210183861381</v>
      </c>
      <c r="AK17" s="29"/>
      <c r="AL17" s="16" t="n">
        <f aca="false">IFERROR(AL16/AL6,0)</f>
        <v>-3.81651088997777</v>
      </c>
      <c r="AM17" s="16" t="n">
        <f aca="false">IFERROR(AM16/AM6,0)</f>
        <v>-3.68038431412367</v>
      </c>
      <c r="AN17" s="16" t="n">
        <f aca="false">AM17-AL17</f>
        <v>0.136126575854096</v>
      </c>
      <c r="AO17" s="29"/>
      <c r="AP17" s="16" t="n">
        <f aca="false">IFERROR(AP16/AP6,0)</f>
        <v>-34.9423382428175</v>
      </c>
      <c r="AQ17" s="16" t="n">
        <f aca="false">IFERROR(AQ16/AQ6,0)</f>
        <v>-32.2675502625176</v>
      </c>
      <c r="AR17" s="16" t="n">
        <f aca="false">AQ17-AP17</f>
        <v>2.67478798029991</v>
      </c>
      <c r="AS17" s="29"/>
      <c r="AT17" s="16" t="n">
        <f aca="false">IFERROR(AT16/AT6,0)</f>
        <v>-48.9411529223379</v>
      </c>
      <c r="AU17" s="16" t="n">
        <f aca="false">IFERROR(AU16/AU6,0)</f>
        <v>-50.624758777127</v>
      </c>
      <c r="AV17" s="16" t="n">
        <f aca="false">AU17-AT17</f>
        <v>-1.68360585478912</v>
      </c>
      <c r="AW17" s="29"/>
    </row>
  </sheetData>
  <mergeCells count="14">
    <mergeCell ref="A1:N1"/>
    <mergeCell ref="A3:A4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1" width="12"/>
    <col collapsed="false" customWidth="true" hidden="false" outlineLevel="0" max="2" min="2" style="11" width="11"/>
    <col collapsed="false" customWidth="true" hidden="false" outlineLevel="0" max="6" min="3" style="11" width="16"/>
  </cols>
  <sheetData>
    <row r="1" customFormat="false" ht="17.25" hidden="false" customHeight="true" outlineLevel="0" collapsed="false">
      <c r="A1" s="17" t="s">
        <v>56</v>
      </c>
      <c r="B1" s="17"/>
      <c r="C1" s="17"/>
      <c r="D1" s="17"/>
      <c r="E1" s="17"/>
      <c r="F1" s="17"/>
    </row>
    <row r="3" customFormat="false" ht="15" hidden="false" customHeight="true" outlineLevel="0" collapsed="false">
      <c r="A3" s="30" t="s">
        <v>57</v>
      </c>
      <c r="B3" s="31" t="s">
        <v>58</v>
      </c>
      <c r="C3" s="32" t="n">
        <v>0.05</v>
      </c>
      <c r="D3" s="33" t="s">
        <v>59</v>
      </c>
    </row>
    <row r="5" customFormat="false" ht="15" hidden="false" customHeight="true" outlineLevel="0" collapsed="false">
      <c r="A5" s="12" t="s">
        <v>60</v>
      </c>
      <c r="B5" s="12" t="s">
        <v>61</v>
      </c>
      <c r="C5" s="12" t="s">
        <v>5</v>
      </c>
      <c r="D5" s="12" t="s">
        <v>53</v>
      </c>
      <c r="E5" s="12" t="s">
        <v>54</v>
      </c>
      <c r="F5" s="12" t="s">
        <v>55</v>
      </c>
    </row>
    <row r="6" customFormat="false" ht="15" hidden="false" customHeight="true" outlineLevel="0" collapsed="false">
      <c r="A6" s="13" t="s">
        <v>35</v>
      </c>
      <c r="B6" s="13" t="s">
        <v>4</v>
      </c>
      <c r="C6" s="24" t="n">
        <f aca="false">'Monthly P&amp;L'!AM6</f>
        <v>551528</v>
      </c>
      <c r="D6" s="24" t="n">
        <f aca="false">'Monthly P&amp;L'!AM15</f>
        <v>2581363</v>
      </c>
      <c r="E6" s="15" t="n">
        <f aca="false">C6-D6</f>
        <v>-2029835</v>
      </c>
      <c r="F6" s="16" t="n">
        <f aca="false">IFERROR(E6/C6,0)</f>
        <v>-3.68038431412367</v>
      </c>
    </row>
    <row r="7" customFormat="false" ht="15" hidden="false" customHeight="true" outlineLevel="0" collapsed="false">
      <c r="A7" s="13" t="s">
        <v>37</v>
      </c>
      <c r="B7" s="13" t="s">
        <v>4</v>
      </c>
      <c r="C7" s="24" t="n">
        <f aca="false">'Monthly P&amp;L'!AQ6</f>
        <v>78090</v>
      </c>
      <c r="D7" s="24" t="n">
        <f aca="false">'Monthly P&amp;L'!AQ15</f>
        <v>2597863</v>
      </c>
      <c r="E7" s="15" t="n">
        <f aca="false">C7-D7</f>
        <v>-2519773</v>
      </c>
      <c r="F7" s="16" t="n">
        <f aca="false">IFERROR(E7/C7,0)</f>
        <v>-32.2675502625176</v>
      </c>
    </row>
    <row r="8" customFormat="false" ht="15" hidden="false" customHeight="true" outlineLevel="0" collapsed="false">
      <c r="A8" s="13" t="s">
        <v>38</v>
      </c>
      <c r="B8" s="13" t="s">
        <v>4</v>
      </c>
      <c r="C8" s="24" t="n">
        <f aca="false">'Monthly P&amp;L'!AU6</f>
        <v>59074</v>
      </c>
      <c r="D8" s="24" t="n">
        <f aca="false">'Monthly P&amp;L'!AU15</f>
        <v>3049681</v>
      </c>
      <c r="E8" s="15" t="n">
        <f aca="false">C8-D8</f>
        <v>-2990607</v>
      </c>
      <c r="F8" s="16" t="n">
        <f aca="false">IFERROR(E8/C8,0)</f>
        <v>-50.624758777127</v>
      </c>
    </row>
    <row r="9" customFormat="false" ht="15" hidden="false" customHeight="true" outlineLevel="0" collapsed="false">
      <c r="A9" s="34" t="s">
        <v>62</v>
      </c>
      <c r="B9" s="35" t="s">
        <v>63</v>
      </c>
      <c r="C9" s="36" t="n">
        <f aca="false">AVERAGE(C6:C8)*(1+$C$3)</f>
        <v>241042.2</v>
      </c>
      <c r="D9" s="36" t="n">
        <f aca="false">AVERAGE(D6:D8)*(1+$C$3)</f>
        <v>2880117.45</v>
      </c>
      <c r="E9" s="36" t="n">
        <f aca="false">C9-D9</f>
        <v>-2639075.25</v>
      </c>
      <c r="F9" s="37" t="n">
        <f aca="false">IFERROR(E9/C9,0)</f>
        <v>-10.948602568347</v>
      </c>
    </row>
    <row r="10" customFormat="false" ht="15" hidden="false" customHeight="true" outlineLevel="0" collapsed="false">
      <c r="A10" s="34" t="s">
        <v>64</v>
      </c>
      <c r="B10" s="35" t="s">
        <v>63</v>
      </c>
      <c r="C10" s="36" t="n">
        <f aca="false">AVERAGE(C7:C9)*(1+$C$3)</f>
        <v>132372.17</v>
      </c>
      <c r="D10" s="36" t="n">
        <f aca="false">AVERAGE(D7:D9)*(1+$C$3)</f>
        <v>2984681.5075</v>
      </c>
      <c r="E10" s="36" t="n">
        <f aca="false">C10-D10</f>
        <v>-2852309.3375</v>
      </c>
      <c r="F10" s="37" t="n">
        <f aca="false">IFERROR(E10/C10,0)</f>
        <v>-21.5476511225887</v>
      </c>
    </row>
    <row r="11" customFormat="false" ht="15" hidden="false" customHeight="true" outlineLevel="0" collapsed="false">
      <c r="A11" s="34" t="s">
        <v>65</v>
      </c>
      <c r="B11" s="35" t="s">
        <v>63</v>
      </c>
      <c r="C11" s="36" t="n">
        <f aca="false">AVERAGE(C8:C10)*(1+$C$3)</f>
        <v>151370.9295</v>
      </c>
      <c r="D11" s="36" t="n">
        <f aca="false">AVERAGE(D8:D10)*(1+$C$3)</f>
        <v>3120067.985125</v>
      </c>
      <c r="E11" s="36" t="n">
        <f aca="false">C11-D11</f>
        <v>-2968697.055625</v>
      </c>
      <c r="F11" s="37" t="n">
        <f aca="false">IFERROR(E11/C11,0)</f>
        <v>-19.6120686147005</v>
      </c>
    </row>
    <row r="13" customFormat="false" ht="15" hidden="false" customHeight="true" outlineLevel="0" collapsed="false">
      <c r="A13" s="30" t="s">
        <v>66</v>
      </c>
    </row>
    <row r="14" customFormat="false" ht="15" hidden="false" customHeight="true" outlineLevel="0" collapsed="false">
      <c r="A14" s="38" t="s">
        <v>67</v>
      </c>
      <c r="B14" s="38"/>
      <c r="C14" s="38"/>
      <c r="D14" s="38"/>
      <c r="E14" s="38"/>
      <c r="F14" s="38"/>
    </row>
    <row r="15" customFormat="false" ht="15" hidden="false" customHeight="true" outlineLevel="0" collapsed="false">
      <c r="A15" s="38" t="s">
        <v>68</v>
      </c>
      <c r="B15" s="38"/>
      <c r="C15" s="38"/>
      <c r="D15" s="38"/>
      <c r="E15" s="38"/>
      <c r="F15" s="38"/>
    </row>
    <row r="16" customFormat="false" ht="15" hidden="false" customHeight="true" outlineLevel="0" collapsed="false">
      <c r="A16" s="38" t="s">
        <v>69</v>
      </c>
      <c r="B16" s="38"/>
      <c r="C16" s="38"/>
      <c r="D16" s="38"/>
      <c r="E16" s="38"/>
      <c r="F16" s="38"/>
    </row>
    <row r="17" customFormat="false" ht="15" hidden="false" customHeight="true" outlineLevel="0" collapsed="false">
      <c r="A17" s="38" t="s">
        <v>70</v>
      </c>
      <c r="B17" s="38"/>
      <c r="C17" s="38"/>
      <c r="D17" s="38"/>
      <c r="E17" s="38"/>
      <c r="F17" s="38"/>
    </row>
  </sheetData>
  <mergeCells count="5">
    <mergeCell ref="A1:F1"/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2026-05-11T05:10:20Z</dcterms:created>
  <dc:creator>openpyxl</dc:creator>
  <dc:description/>
  <dc:language>en-US</dc:language>
  <cp:lastModifiedBy/>
  <dcterms:modified xsi:type="dcterms:W3CDTF">2026-05-11T05:13:00Z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